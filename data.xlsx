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<sst xmlns="http://schemas.openxmlformats.org/spreadsheetml/2006/main" count="109" uniqueCount="108">
  <si>
    <t>food_name</t>
  </si>
  <si>
    <t>calories_100g</t>
  </si>
  <si>
    <t>protein_100g</t>
  </si>
  <si>
    <t>carbs_100g</t>
  </si>
  <si>
    <t>fat_100g</t>
  </si>
  <si>
    <t>info</t>
  </si>
  <si>
    <t>Apple</t>
  </si>
  <si>
    <t>Apple Pie</t>
  </si>
  <si>
    <t>Avocado</t>
  </si>
  <si>
    <t>Banana</t>
  </si>
  <si>
    <t>Basil Rice</t>
  </si>
  <si>
    <t>Bazella</t>
  </si>
  <si>
    <t>81</t>
  </si>
  <si>
    <t>5.4</t>
  </si>
  <si>
    <t>16</t>
  </si>
  <si>
    <t>0.4</t>
  </si>
  <si>
    <t>Bread</t>
  </si>
  <si>
    <t>Bechamel</t>
  </si>
  <si>
    <t>Beetroot</t>
  </si>
  <si>
    <t>Bell Pepper</t>
  </si>
  <si>
    <t>Broccoli</t>
  </si>
  <si>
    <t>Bualoy</t>
  </si>
  <si>
    <t>Burger</t>
  </si>
  <si>
    <t>Cabbage</t>
  </si>
  <si>
    <t>Cake</t>
  </si>
  <si>
    <t>Carrot</t>
  </si>
  <si>
    <t>Cauliflower</t>
  </si>
  <si>
    <t>Cheese</t>
  </si>
  <si>
    <t>Cheesecake</t>
  </si>
  <si>
    <t>Chicken</t>
  </si>
  <si>
    <t>Coconut</t>
  </si>
  <si>
    <t>Coke</t>
  </si>
  <si>
    <t>Cookie</t>
  </si>
  <si>
    <t>Corn</t>
  </si>
  <si>
    <t>Croissant</t>
  </si>
  <si>
    <t>Cucumber</t>
  </si>
  <si>
    <t>Donut</t>
  </si>
  <si>
    <t>Dried Fish</t>
  </si>
  <si>
    <t>Egg</t>
  </si>
  <si>
    <t>Eggplant</t>
  </si>
  <si>
    <t>Fasol</t>
  </si>
  <si>
    <t>Fig</t>
  </si>
  <si>
    <t>Fish</t>
  </si>
  <si>
    <t>Flafel</t>
  </si>
  <si>
    <t>Fool</t>
  </si>
  <si>
    <t>Fried Chicken</t>
  </si>
  <si>
    <t>Fried Eggplant</t>
  </si>
  <si>
    <t>Fried Eggs</t>
  </si>
  <si>
    <t>Fries</t>
  </si>
  <si>
    <t>Garlic</t>
  </si>
  <si>
    <t>Grape</t>
  </si>
  <si>
    <t>Grilled Eggplant</t>
  </si>
  <si>
    <t>Grilled Salmon</t>
  </si>
  <si>
    <t>Hot Dog</t>
  </si>
  <si>
    <t>Juice</t>
  </si>
  <si>
    <t>Kofta</t>
  </si>
  <si>
    <t>Lemon</t>
  </si>
  <si>
    <t>Lettuce</t>
  </si>
  <si>
    <t>Macaron</t>
  </si>
  <si>
    <t>Mango</t>
  </si>
  <si>
    <t>Marrow</t>
  </si>
  <si>
    <t>Molokhya</t>
  </si>
  <si>
    <t>Muffin</t>
  </si>
  <si>
    <t>Mushroom</t>
  </si>
  <si>
    <t>Noodles</t>
  </si>
  <si>
    <t>Nuggets</t>
  </si>
  <si>
    <t>Omelette</t>
  </si>
  <si>
    <t>Onion</t>
  </si>
  <si>
    <t>Orange</t>
  </si>
  <si>
    <t>Pancake</t>
  </si>
  <si>
    <t>Pasta</t>
  </si>
  <si>
    <t>Peach</t>
  </si>
  <si>
    <t>Peas</t>
  </si>
  <si>
    <t>Pepper</t>
  </si>
  <si>
    <t>Pineapple</t>
  </si>
  <si>
    <t>Pizza</t>
  </si>
  <si>
    <t>Pomegranate</t>
  </si>
  <si>
    <t>Popcorn</t>
  </si>
  <si>
    <t>Potato</t>
  </si>
  <si>
    <t>Potato Salad</t>
  </si>
  <si>
    <t>Pretzel</t>
  </si>
  <si>
    <t>Pumpkin</t>
  </si>
  <si>
    <t>Radish</t>
  </si>
  <si>
    <t>Rice</t>
  </si>
  <si>
    <t>Rolled omelet</t>
  </si>
  <si>
    <t>Salad</t>
  </si>
  <si>
    <t>Salmon</t>
  </si>
  <si>
    <t>Sauteed Spinach</t>
  </si>
  <si>
    <t>Sauteed Vegetables</t>
  </si>
  <si>
    <t>Shrimp</t>
  </si>
  <si>
    <t>Soup</t>
  </si>
  <si>
    <t>Spaghetti</t>
  </si>
  <si>
    <t>Spinach</t>
  </si>
  <si>
    <t>Steak</t>
  </si>
  <si>
    <t>Strawberry</t>
  </si>
  <si>
    <t>Sweet Potato</t>
  </si>
  <si>
    <t>Tiramisu</t>
  </si>
  <si>
    <t>Toast</t>
  </si>
  <si>
    <t>Tomato</t>
  </si>
  <si>
    <t>Waffle</t>
  </si>
  <si>
    <t>Watermelon</t>
  </si>
  <si>
    <t>Zucchini</t>
  </si>
  <si>
    <t>baklava</t>
  </si>
  <si>
    <t>beans</t>
  </si>
  <si>
    <t>beet</t>
  </si>
  <si>
    <t>sashimi</t>
  </si>
  <si>
    <t>sausage</t>
  </si>
  <si>
    <t>sushi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</si>
</sst>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CF8E6D"/>
      <name val="'JetBrains Mono'"/>
    </font>
    <font>
      <color rgb="FFBCBEC4"/>
      <name val="'JetBrains Mono'"/>
    </font>
  </fonts>
  <fills count="3">
    <fill>
      <patternFill patternType="none"/>
    </fill>
    <fill>
      <patternFill patternType="lightGray"/>
    </fill>
    <fill>
      <patternFill patternType="solid">
        <fgColor rgb="FF191A1C"/>
        <bgColor rgb="FF191A1C"/>
      </patternFill>
    </fill>
  </fills>
  <borders count="3">
    <border/>
    <border>
      <left style="thin">
        <color rgb="FF000000"/>
      </left>
      <right style="thin">
        <color rgb="FF000000"/>
      </right>
      <top style="thin">
        <color rgb="FF000000"/>
      </top>
      <bottom style="thin">
        <color rgb="FF000000"/>
      </bottom>
    </border>
    <border>
      <right style="thick">
        <color rgb="FF000000"/>
      </righ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1"/>
    </xf>
    <xf borderId="1" fillId="2" fontId="2" numFmtId="0" xfId="0" applyAlignment="1" applyBorder="1" applyFill="1" applyFont="1">
      <alignment horizontal="left" readingOrder="0"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1" fillId="2" fontId="3"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shrinkToFit="0" vertical="center" wrapText="0"/>
    </xf>
    <xf borderId="1" fillId="2" fontId="2" numFmtId="0" xfId="0" applyAlignment="1" applyBorder="1" applyFont="1">
      <alignment horizontal="left" shrinkToFit="0" vertical="center" wrapText="0"/>
    </xf>
    <xf borderId="0" fillId="0" fontId="1" numFmtId="0" xfId="0" applyAlignment="1" applyFont="1">
      <alignment shrinkToFit="0" wrapText="1"/>
    </xf>
    <xf borderId="2" fillId="0" fontId="1"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0" displayName="Table1" name="Table1" id="1">
  <tableColumns count="6">
    <tableColumn name="food_name" id="1"/>
    <tableColumn name="calories_100g" id="2"/>
    <tableColumn name="protein_100g" id="3"/>
    <tableColumn name="carbs_100g" id="4"/>
    <tableColumn name="fat_100g" id="5"/>
    <tableColumn name="info"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22.88"/>
    <col customWidth="1" min="3" max="4" width="19.13"/>
    <col customWidth="1" min="5" max="5" width="20.0"/>
    <col customWidth="1" min="6" max="6" width="34.75"/>
  </cols>
  <sheetData>
    <row r="1" ht="22.5" customHeight="1">
      <c r="A1" s="1" t="s">
        <v>0</v>
      </c>
      <c r="B1" s="1" t="s">
        <v>1</v>
      </c>
      <c r="C1" s="2" t="s">
        <v>2</v>
      </c>
      <c r="D1" s="2" t="s">
        <v>3</v>
      </c>
      <c r="E1" s="2" t="s">
        <v>4</v>
      </c>
      <c r="F1" s="3" t="s">
        <v>5</v>
      </c>
    </row>
    <row r="2" ht="22.5" customHeight="1">
      <c r="A2" s="4" t="s">
        <v>6</v>
      </c>
      <c r="B2" s="5" t="str">
        <f>IFERROR(__xludf.DUMMYFUNCTION("AI(""Get the calories per 100g for "" &amp; A2 &amp; "" from USDA database. Return only the numeric value (integer)."")"),"52")</f>
        <v>52</v>
      </c>
      <c r="C2" s="6" t="str">
        <f>IFERROR(__xludf.DUMMYFUNCTION("AI(""Get protein content in grams per 100g for "" &amp; A2 &amp; "" from USDA. Return only the number."")"),"0.26")</f>
        <v>0.26</v>
      </c>
      <c r="D2" s="6" t="str">
        <f>IFERROR(__xludf.DUMMYFUNCTION("AI(""Get carbohydrate content in grams per 100g for "" &amp; A2 &amp; "" from USDA. Return only the number. "")"),"13.80")</f>
        <v>13.80</v>
      </c>
      <c r="E2" s="6" t="str">
        <f>IFERROR(__xludf.DUMMYFUNCTION("AI(""Get total fat content in grams per 100g for "" &amp; A2 &amp; "" from USDA. Return only the number."")"),"0.17")</f>
        <v>0.17</v>
      </c>
      <c r="F2" s="7" t="str">
        <f>IFERROR(__xludf.DUMMYFUNCTION("AI(""Write 2 to 5 lines about the benefits and harms of "" &amp; A2 &amp; "". Keep it concise and objective."")"),"Apples are rich in fiber and antioxidants, which may improve digestion, support heart and brain health, and potentially lower the risk of certain cancers and type 2 diabetes. However, the high fiber and fructose content can cause digestive issues like blo"&amp;"ating or diarrhea in sensitive individuals. Excessive consumption may contribute to dental erosion due to natural acids. Conventional apples may also contain pesticide residues.")</f>
        <v>Apples are rich in fiber and antioxidants, which may improve digestion, support heart and brain health, and potentially lower the risk of certain cancers and type 2 diabetes. However, the high fiber and fructose content can cause digestive issues like bloating or diarrhea in sensitive individuals. Excessive consumption may contribute to dental erosion due to natural acids. Conventional apples may also contain pesticide residues.</v>
      </c>
    </row>
    <row r="3" ht="22.5" customHeight="1">
      <c r="A3" s="4" t="s">
        <v>7</v>
      </c>
      <c r="B3" s="5" t="str">
        <f>IFERROR(__xludf.DUMMYFUNCTION("AI(""Get the calories per 100g for "" &amp; A3 &amp; "" from USDA database. Return only the numeric value (integer)."")"),"237")</f>
        <v>237</v>
      </c>
      <c r="C3" s="6" t="str">
        <f>IFERROR(__xludf.DUMMYFUNCTION("AI(""Get protein content in grams per 100g for "" &amp; A3 &amp; "" from USDA. Return only the number."")"),"2.6")</f>
        <v>2.6</v>
      </c>
      <c r="D3" s="6" t="str">
        <f>IFERROR(__xludf.DUMMYFUNCTION("AI(""Get carbohydrate content in grams per 100g for "" &amp; A3 &amp; "" from USDA. Return only the number. "")"),"34")</f>
        <v>34</v>
      </c>
      <c r="E3" s="6" t="str">
        <f>IFERROR(__xludf.DUMMYFUNCTION("AI(""Get total fat content in grams per 100g for "" &amp; A3 &amp; "" from USDA. Return only the number."")"),"10.0")</f>
        <v>10.0</v>
      </c>
      <c r="F3" s="8" t="str">
        <f>IFERROR(__xludf.DUMMYFUNCTION("AI(""Write 2 to 5 lines about the benefits and harms of "" &amp; A3 &amp; "". Keep it concise and objective."")"),"Apple pie provides fiber, vitamin C, and antioxidants from the apple filling, offering a source of quick energy. However, it is typically high in calories, fat, and added sugar, especially in the refined flour crust. Frequent consumption can contribute to"&amp;" blood sugar spikes and weight gain.")</f>
        <v>Apple pie provides fiber, vitamin C, and antioxidants from the apple filling, offering a source of quick energy. However, it is typically high in calories, fat, and added sugar, especially in the refined flour crust. Frequent consumption can contribute to blood sugar spikes and weight gain.</v>
      </c>
    </row>
    <row r="4" ht="22.5" customHeight="1">
      <c r="A4" s="4" t="s">
        <v>8</v>
      </c>
      <c r="B4" s="5" t="str">
        <f>IFERROR(__xludf.DUMMYFUNCTION("AI(""Get the calories per 100g for "" &amp; A4 &amp; "" from USDA database. Return only the numeric value (integer)."")"),"160")</f>
        <v>160</v>
      </c>
      <c r="C4" s="6" t="str">
        <f>IFERROR(__xludf.DUMMYFUNCTION("AI(""Get protein content in grams per 100g for "" &amp; A4 &amp; "" from USDA. Return only the number."")"),"1.96")</f>
        <v>1.96</v>
      </c>
      <c r="D4" s="6" t="str">
        <f>IFERROR(__xludf.DUMMYFUNCTION("AI(""Get carbohydrate content in grams per 100g for "" &amp; A4 &amp; "" from USDA. Return only the number. "")"),"8.64")</f>
        <v>8.64</v>
      </c>
      <c r="E4" s="6" t="str">
        <f>IFERROR(__xludf.DUMMYFUNCTION("AI(""Get total fat content in grams per 100g for "" &amp; A4 &amp; "" from USDA. Return only the number."")"),"15.4")</f>
        <v>15.4</v>
      </c>
      <c r="F4" s="8" t="str">
        <f>IFERROR(__xludf.DUMMYFUNCTION("AI(""Write 2 to 5 lines about the benefits and harms of "" &amp; A4 &amp; "". Keep it concise and objective."")"),"Avocados are beneficial due to their heart-healthy monounsaturated fats, fiber, and nutrients like potassium and folate. They can help lower LDL cholesterol and support digestion. Being calorie and fat-dense, consuming them in large amounts may lead to we"&amp;"ight gain. They also contain vitamin K, which can affect blood thinners, and may trigger reactions in people with latex allergies.")</f>
        <v>Avocados are beneficial due to their heart-healthy monounsaturated fats, fiber, and nutrients like potassium and folate. They can help lower LDL cholesterol and support digestion. Being calorie and fat-dense, consuming them in large amounts may lead to weight gain. They also contain vitamin K, which can affect blood thinners, and may trigger reactions in people with latex allergies.</v>
      </c>
    </row>
    <row r="5" ht="22.5" customHeight="1">
      <c r="A5" s="4" t="s">
        <v>9</v>
      </c>
      <c r="B5" s="5" t="str">
        <f>IFERROR(__xludf.DUMMYFUNCTION("AI(""Get the calories per 100g for "" &amp; A5 &amp; "" from USDA database. Return only the numeric value (integer)."")"),"89")</f>
        <v>89</v>
      </c>
      <c r="C5" s="6" t="str">
        <f>IFERROR(__xludf.DUMMYFUNCTION("AI(""Get protein content in grams per 100g for "" &amp; A5 &amp; "" from USDA. Return only the number."")"),"1.09")</f>
        <v>1.09</v>
      </c>
      <c r="D5" s="6" t="str">
        <f>IFERROR(__xludf.DUMMYFUNCTION("AI(""Get carbohydrate content in grams per 100g for "" &amp; A5 &amp; "" from USDA. Return only the number. "")"),"22.80")</f>
        <v>22.80</v>
      </c>
      <c r="E5" s="6" t="str">
        <f>IFERROR(__xludf.DUMMYFUNCTION("AI(""Get total fat content in grams per 100g for "" &amp; A5 &amp; "" from USDA. Return only the number."")"),"0.33")</f>
        <v>0.33</v>
      </c>
      <c r="F5" s="8" t="str">
        <f>IFERROR(__xludf.DUMMYFUNCTION("AI(""Write 2 to 5 lines about the benefits and harms of "" &amp; A5 &amp; "". Keep it concise and objective."")"),"Bananas are rich in potassium, fiber, and Vitamin B6, which support heart health, digestion, and energy. Unripe bananas contain resistant starch which acts as a prebiotic. However, ripe bananas contain high sugar, which can cause blood sugar spikes, and e"&amp;"xcessive intake may cause digestive issues or potassium overload in those with kidney problems.")</f>
        <v>Bananas are rich in potassium, fiber, and Vitamin B6, which support heart health, digestion, and energy. Unripe bananas contain resistant starch which acts as a prebiotic. However, ripe bananas contain high sugar, which can cause blood sugar spikes, and excessive intake may cause digestive issues or potassium overload in those with kidney problems.</v>
      </c>
    </row>
    <row r="6" ht="22.5" customHeight="1">
      <c r="A6" s="4" t="s">
        <v>10</v>
      </c>
      <c r="B6" s="5" t="str">
        <f>IFERROR(__xludf.DUMMYFUNCTION("AI(""Get the calories per 100g for "" &amp; A6 &amp; "" from USDA database. Return only the numeric value (integer)."")"),"144")</f>
        <v>144</v>
      </c>
      <c r="C6" s="6" t="str">
        <f>IFERROR(__xludf.DUMMYFUNCTION("AI(""Get protein content in grams per 100g for "" &amp; A6 &amp; "" from USDA. Return only the number."")"),"2.7")</f>
        <v>2.7</v>
      </c>
      <c r="D6" s="6" t="str">
        <f>IFERROR(__xludf.DUMMYFUNCTION("AI(""Get carbohydrate content in grams per 100g for "" &amp; A6 &amp; "" from USDA. Return only the number. "")"),"26.7")</f>
        <v>26.7</v>
      </c>
      <c r="E6" s="6" t="str">
        <f>IFERROR(__xludf.DUMMYFUNCTION("AI(""Get total fat content in grams per 100g for "" &amp; A6 &amp; "" from USDA. Return only the number."")"),"1.33")</f>
        <v>1.33</v>
      </c>
      <c r="F6" s="8" t="str">
        <f>IFERROR(__xludf.DUMMYFUNCTION("AI(""Write 2 to 5 lines about the benefits and harms of "" &amp; A6 &amp; "". Keep it concise and objective."")"),"Basil Rice provides energy from carbohydrates and nutritional benefits from basil, such as Vitamin K and antioxidants. Basil may offer anti-inflammatory properties. The health impact, however, can vary significantly depending on the preparation method and"&amp;" the amount of added fats like oil or butter.")</f>
        <v>Basil Rice provides energy from carbohydrates and nutritional benefits from basil, such as Vitamin K and antioxidants. Basil may offer anti-inflammatory properties. The health impact, however, can vary significantly depending on the preparation method and the amount of added fats like oil or butter.</v>
      </c>
    </row>
    <row r="7" ht="22.5" customHeight="1">
      <c r="A7" s="4" t="s">
        <v>11</v>
      </c>
      <c r="B7" s="5" t="s">
        <v>12</v>
      </c>
      <c r="C7" s="6" t="s">
        <v>13</v>
      </c>
      <c r="D7" s="6" t="s">
        <v>14</v>
      </c>
      <c r="E7" s="6" t="s">
        <v>15</v>
      </c>
      <c r="F7" s="8" t="str">
        <f>IFERROR(__xludf.DUMMYFUNCTION("AI(""Write 2 to 5 lines about the benefits and harms of "" &amp; A7 &amp; "". Keep it concise and objective."")"),"Bazella, a dish typically made with peas, is a source of plant-based protein, fiber, and various vitamins, supporting digestive and overall health. Its specific nutritional value depends heavily on the cooking method and ingredients added, such as high-fa"&amp;"t oils or meat, which can increase the calorie and fat content.")</f>
        <v>Bazella, a dish typically made with peas, is a source of plant-based protein, fiber, and various vitamins, supporting digestive and overall health. Its specific nutritional value depends heavily on the cooking method and ingredients added, such as high-fat oils or meat, which can increase the calorie and fat content.</v>
      </c>
    </row>
    <row r="8" ht="22.5" customHeight="1">
      <c r="A8" s="9" t="s">
        <v>16</v>
      </c>
      <c r="B8" s="5">
        <v>265.0</v>
      </c>
      <c r="C8" s="6">
        <v>9.0</v>
      </c>
      <c r="D8" s="6">
        <v>49.0</v>
      </c>
      <c r="E8" s="6">
        <v>3.2</v>
      </c>
      <c r="F8" s="7" t="str">
        <f>IFERROR(__xludf.DUMMYFUNCTION("AI(""Write 2 to 5 lines about the benefits and harms of "" &amp; A8 &amp; "". Keep it concise and objective."")"),"Bread can be a nutritious part of a balanced diet, particularly whole-grain and sourdough varieties, which are rich in fiber and linked to a reduced risk of chronic diseases. Conversely, commercial white bread is often nutrient-poor and a high regular int"&amp;"ake is associated with an increased risk of type 2 diabetes. Additionally, bread contains gluten, which must be avoided by people with celiac disease or gluten sensitivity.")</f>
        <v>Bread can be a nutritious part of a balanced diet, particularly whole-grain and sourdough varieties, which are rich in fiber and linked to a reduced risk of chronic diseases. Conversely, commercial white bread is often nutrient-poor and a high regular intake is associated with an increased risk of type 2 diabetes. Additionally, bread contains gluten, which must be avoided by people with celiac disease or gluten sensitivity.</v>
      </c>
    </row>
    <row r="9" ht="22.5" customHeight="1">
      <c r="A9" s="4" t="s">
        <v>17</v>
      </c>
      <c r="B9" s="5" t="str">
        <f>IFERROR(__xludf.DUMMYFUNCTION("AI(""Get the calories per 100g for "" &amp; A9 &amp; "" from USDA database. Return only the numeric value (integer)."")"),"105")</f>
        <v>105</v>
      </c>
      <c r="C9" s="6" t="str">
        <f>IFERROR(__xludf.DUMMYFUNCTION("AI(""Get protein content in grams per 100g for "" &amp; A9 &amp; "" from USDA. Return only the number."")"),"3.0")</f>
        <v>3.0</v>
      </c>
      <c r="D9" s="6" t="str">
        <f>IFERROR(__xludf.DUMMYFUNCTION("AI(""Get carbohydrate content in grams per 100g for "" &amp; A9 &amp; "" from USDA. Return only the number. "")"),"10.0")</f>
        <v>10.0</v>
      </c>
      <c r="E9" s="6" t="str">
        <f>IFERROR(__xludf.DUMMYFUNCTION("AI(""Get total fat content in grams per 100g for "" &amp; A9 &amp; "" from USDA. Return only the number."")"),"8.0")</f>
        <v>8.0</v>
      </c>
      <c r="F9" s="8" t="str">
        <f>IFERROR(__xludf.DUMMYFUNCTION("AI(""Write 2 to 5 lines about the benefits and harms of "" &amp; A9 &amp; "". Keep it concise and objective."")"),"Bechamel sauce offers calcium for bone health and Vitamin A from butter, adding richness and flavor to dishes. However, it is typically high in calories, total fat, and saturated fat, requiring moderation for weight or cholesterol management. Traditional "&amp;"recipes contain dairy and wheat (gluten), making them unsuitable for those with related intolerances or dietary restrictions.")</f>
        <v>Bechamel sauce offers calcium for bone health and Vitamin A from butter, adding richness and flavor to dishes. However, it is typically high in calories, total fat, and saturated fat, requiring moderation for weight or cholesterol management. Traditional recipes contain dairy and wheat (gluten), making them unsuitable for those with related intolerances or dietary restrictions.</v>
      </c>
    </row>
    <row r="10" ht="22.5" customHeight="1">
      <c r="A10" s="4" t="s">
        <v>18</v>
      </c>
      <c r="B10" s="5" t="str">
        <f>IFERROR(__xludf.DUMMYFUNCTION("AI(""Get the calories per 100g for "" &amp; A10 &amp; "" from USDA database. Return only the numeric value (integer)."")"),"43")</f>
        <v>43</v>
      </c>
      <c r="C10" s="6" t="str">
        <f>IFERROR(__xludf.DUMMYFUNCTION("AI(""Get protein content in grams per 100g for "" &amp; A10 &amp; "" from USDA. Return only the number."")"),"1.6")</f>
        <v>1.6</v>
      </c>
      <c r="D10" s="6" t="str">
        <f>IFERROR(__xludf.DUMMYFUNCTION("AI(""Get carbohydrate content in grams per 100g for "" &amp; A10 &amp; "" from USDA. Return only the number. "")"),"9.6")</f>
        <v>9.6</v>
      </c>
      <c r="E10" s="6" t="str">
        <f>IFERROR(__xludf.DUMMYFUNCTION("AI(""Get total fat content in grams per 100g for "" &amp; A10 &amp; "" from USDA. Return only the number."")"),"0.17")</f>
        <v>0.17</v>
      </c>
      <c r="F10" s="8" t="str">
        <f>IFERROR(__xludf.DUMMYFUNCTION("AI(""Write 2 to 5 lines about the benefits and harms of "" &amp; A10 &amp; "". Keep it concise and objective."")"),"Beetroot is highly nutritious, offering nitrates that may lower blood pressure and enhance athletic performance, along with antioxidants that reduce inflammation and disease risk. Excessive consumption can cause harmless red/pink urine (beeturia) and may "&amp;"lead to digestive issues or increase the risk of kidney stones due to high oxalate content. High nitrate intake, particularly from juice, is also linked to the potential formation of carcinogenic N-nitroso compounds.")</f>
        <v>Beetroot is highly nutritious, offering nitrates that may lower blood pressure and enhance athletic performance, along with antioxidants that reduce inflammation and disease risk. Excessive consumption can cause harmless red/pink urine (beeturia) and may lead to digestive issues or increase the risk of kidney stones due to high oxalate content. High nitrate intake, particularly from juice, is also linked to the potential formation of carcinogenic N-nitroso compounds.</v>
      </c>
    </row>
    <row r="11" ht="22.5" customHeight="1">
      <c r="A11" s="4" t="s">
        <v>19</v>
      </c>
      <c r="B11" s="5" t="str">
        <f>IFERROR(__xludf.DUMMYFUNCTION("AI(""Get the calories per 100g for "" &amp; A11 &amp; "" from USDA database. Return only the numeric value (integer)."")"),"31")</f>
        <v>31</v>
      </c>
      <c r="C11" s="6" t="str">
        <f>IFERROR(__xludf.DUMMYFUNCTION("AI(""Get protein content in grams per 100g for "" &amp; A11 &amp; "" from USDA. Return only the number."")"),"1.0")</f>
        <v>1.0</v>
      </c>
      <c r="D11" s="6" t="str">
        <f>IFERROR(__xludf.DUMMYFUNCTION("AI(""Get carbohydrate content in grams per 100g for "" &amp; A11 &amp; "" from USDA. Return only the number. "")"),"6")</f>
        <v>6</v>
      </c>
      <c r="E11" s="6" t="str">
        <f>IFERROR(__xludf.DUMMYFUNCTION("AI(""Get total fat content in grams per 100g for "" &amp; A11 &amp; "" from USDA. Return only the number."")"),"0.3")</f>
        <v>0.3</v>
      </c>
      <c r="F11" s="8" t="str">
        <f>IFERROR(__xludf.DUMMYFUNCTION("AI(""Write 2 to 5 lines about the benefits and harms of "" &amp; A11 &amp; "". Keep it concise and objective."")"),"Bell peppers are low in calories and an excellent source of vitamins C and A, fiber, and antioxidants like lutein and zeaxanthin, which support eye health, immunity, and digestion. These nutrients may also help reduce the risk of chronic diseases like hea"&amp;"rt disease and certain cancers. However, some individuals may experience digestive irritation or allergic reactions, particularly if sensitive to the nightshade family or pollen.")</f>
        <v>Bell peppers are low in calories and an excellent source of vitamins C and A, fiber, and antioxidants like lutein and zeaxanthin, which support eye health, immunity, and digestion. These nutrients may also help reduce the risk of chronic diseases like heart disease and certain cancers. However, some individuals may experience digestive irritation or allergic reactions, particularly if sensitive to the nightshade family or pollen.</v>
      </c>
    </row>
    <row r="12" ht="22.5" customHeight="1">
      <c r="A12" s="4" t="s">
        <v>16</v>
      </c>
      <c r="B12" s="5" t="str">
        <f>IFERROR(__xludf.DUMMYFUNCTION("AI(""Get the calories per 100g for "" &amp; A12 &amp; "" from USDA database. Return only the numeric value (integer)."")"),"219")</f>
        <v>219</v>
      </c>
      <c r="C12" s="6" t="str">
        <f>IFERROR(__xludf.DUMMYFUNCTION("AI(""Get protein content in grams per 100g for "" &amp; A12 &amp; "" from USDA. Return only the number."")"),"8.9")</f>
        <v>8.9</v>
      </c>
      <c r="D12" s="6" t="str">
        <f>IFERROR(__xludf.DUMMYFUNCTION("AI(""Get carbohydrate content in grams per 100g for "" &amp; A12 &amp; "" from USDA. Return only the number. "")"),"44.8")</f>
        <v>44.8</v>
      </c>
      <c r="E12" s="6" t="str">
        <f>IFERROR(__xludf.DUMMYFUNCTION("AI(""Get total fat content in grams per 100g for "" &amp; A12 &amp; "" from USDA. Return only the number."")"),"3.44")</f>
        <v>3.44</v>
      </c>
      <c r="F12" s="8" t="str">
        <f>IFERROR(__xludf.DUMMYFUNCTION("AI(""Write 2 to 5 lines about the benefits and harms of "" &amp; A12 &amp; "". Keep it concise and objective."")"),"Whole-grain and sprouted breads offer fiber, B vitamins, and minerals, which can support digestive health and lower the risk of chronic diseases. Refined white bread is low in nutrients and high in simple carbohydrates, which may cause blood sugar spikes "&amp;"and potentially contribute to weight gain. For those with celiac disease or gluten sensitivity, the gluten in bread causes adverse digestive effects.")</f>
        <v>Whole-grain and sprouted breads offer fiber, B vitamins, and minerals, which can support digestive health and lower the risk of chronic diseases. Refined white bread is low in nutrients and high in simple carbohydrates, which may cause blood sugar spikes and potentially contribute to weight gain. For those with celiac disease or gluten sensitivity, the gluten in bread causes adverse digestive effects.</v>
      </c>
    </row>
    <row r="13" ht="22.5" customHeight="1">
      <c r="A13" s="4" t="s">
        <v>20</v>
      </c>
      <c r="B13" s="5" t="str">
        <f>IFERROR(__xludf.DUMMYFUNCTION("AI(""Get the calories per 100g for "" &amp; A13 &amp; "" from USDA database. Return only the numeric value (integer)."")"),"34")</f>
        <v>34</v>
      </c>
      <c r="C13" s="6" t="str">
        <f>IFERROR(__xludf.DUMMYFUNCTION("AI(""Get protein content in grams per 100g for "" &amp; A13 &amp; "" from USDA. Return only the number."")"),"2.82")</f>
        <v>2.82</v>
      </c>
      <c r="D13" s="6" t="str">
        <f>IFERROR(__xludf.DUMMYFUNCTION("AI(""Get carbohydrate content in grams per 100g for "" &amp; A13 &amp; "" from USDA. Return only the number. "")"),"6.9")</f>
        <v>6.9</v>
      </c>
      <c r="E13" s="6" t="str">
        <f>IFERROR(__xludf.DUMMYFUNCTION("AI(""Get total fat content in grams per 100g for "" &amp; A13 &amp; "" from USDA. Return only the number."")"),"0.37")</f>
        <v>0.37</v>
      </c>
      <c r="F13" s="8" t="str">
        <f>IFERROR(__xludf.DUMMYFUNCTION("AI(""Write 2 to 5 lines about the benefits and harms of "" &amp; A13 &amp; "". Keep it concise and objective."")"),"Broccoli is rich in vitamins C and K, calcium, and fiber, supporting bone health, immune function, and digestion. It also contains sulforaphane, an antioxidant linked to reducing chronic inflammation. While highly nutritious, high fiber content may cause "&amp;"gas or bloating in some individuals.")</f>
        <v>Broccoli is rich in vitamins C and K, calcium, and fiber, supporting bone health, immune function, and digestion. It also contains sulforaphane, an antioxidant linked to reducing chronic inflammation. While highly nutritious, high fiber content may cause gas or bloating in some individuals.</v>
      </c>
    </row>
    <row r="14" ht="22.5" customHeight="1">
      <c r="A14" s="4" t="s">
        <v>21</v>
      </c>
      <c r="B14" s="5" t="str">
        <f>IFERROR(__xludf.DUMMYFUNCTION("AI(""Get the calories per 100g for "" &amp; A14 &amp; "" from USDA database. Return only the numeric value (integer)."")"),"175")</f>
        <v>175</v>
      </c>
      <c r="C14" s="10">
        <v>3.0</v>
      </c>
      <c r="D14" s="11" t="str">
        <f>IFERROR(__xludf.DUMMYFUNCTION("AI(""Get carbohydrate content in grams per 100g for "" &amp; A14 &amp; "" from USDA. Return only the number. "")"),"35.7")</f>
        <v>35.7</v>
      </c>
      <c r="E14" s="10">
        <v>8.0</v>
      </c>
      <c r="F14" s="8" t="str">
        <f>IFERROR(__xludf.DUMMYFUNCTION("AI(""Write 2 to 5 lines about the benefits and harms of "" &amp; A14 &amp; "". Keep it concise and objective."")"),"Bualoy is a source of carbohydrates for energy from the glutinous rice balls and sugar. It also contains fats, primarily saturated fat, from the coconut milk. Due to its high sugar and fat content, it is calorie-dense. Excessive consumption may contribute"&amp;" to increased caloric intake and potential weight gain.")</f>
        <v>Bualoy is a source of carbohydrates for energy from the glutinous rice balls and sugar. It also contains fats, primarily saturated fat, from the coconut milk. Due to its high sugar and fat content, it is calorie-dense. Excessive consumption may contribute to increased caloric intake and potential weight gain.</v>
      </c>
    </row>
    <row r="15" ht="22.5" customHeight="1">
      <c r="A15" s="4" t="s">
        <v>22</v>
      </c>
      <c r="B15" s="5" t="str">
        <f>IFERROR(__xludf.DUMMYFUNCTION("AI(""Get the calories per 100g for "" &amp; A15 &amp; "" from USDA database. Return only the numeric value (integer)."")"),"249")</f>
        <v>249</v>
      </c>
      <c r="C15" s="6" t="str">
        <f>IFERROR(__xludf.DUMMYFUNCTION("AI(""Get protein content in grams per 100g for "" &amp; A15 &amp; "" from USDA. Return only the number."")"),"23")</f>
        <v>23</v>
      </c>
      <c r="D15" s="6" t="str">
        <f>IFERROR(__xludf.DUMMYFUNCTION("AI(""Get carbohydrate content in grams per 100g for "" &amp; A15 &amp; "" from USDA. Return only the number. "")"),"0.91")</f>
        <v>0.91</v>
      </c>
      <c r="E15" s="6" t="str">
        <f>IFERROR(__xludf.DUMMYFUNCTION("AI(""Get total fat content in grams per 100g for "" &amp; A15 &amp; "" from USDA. Return only the number."")"),"15.2")</f>
        <v>15.2</v>
      </c>
      <c r="F15" s="8" t="str">
        <f>IFERROR(__xludf.DUMMYFUNCTION("AI(""Write 2 to 5 lines about the benefits and harms of "" &amp; A15 &amp; "". Keep it concise and objective."")"),"Burgers are a good source of protein, iron, and B vitamins. However, commercially prepared and fast-food versions are often high in saturated fat, sodium, and calories, which can negatively affect heart health and contribute to weight gain. Choosing lean "&amp;"meat or plant-based patties and adding fresh vegetables can create a healthier meal.")</f>
        <v>Burgers are a good source of protein, iron, and B vitamins. However, commercially prepared and fast-food versions are often high in saturated fat, sodium, and calories, which can negatively affect heart health and contribute to weight gain. Choosing lean meat or plant-based patties and adding fresh vegetables can create a healthier meal.</v>
      </c>
    </row>
    <row r="16" ht="22.5" customHeight="1">
      <c r="A16" s="12" t="s">
        <v>23</v>
      </c>
      <c r="B16" s="5" t="str">
        <f>IFERROR(__xludf.DUMMYFUNCTION("AI(""Get the calories per 100g for "" &amp; A16 &amp; "" from USDA database. Return only the numeric value (integer)."")"),"25")</f>
        <v>25</v>
      </c>
      <c r="C16" s="6" t="str">
        <f>IFERROR(__xludf.DUMMYFUNCTION("AI(""Get protein content in grams per 100g for "" &amp; A16 &amp; "" from USDA. Return only the number."")"),"1.3")</f>
        <v>1.3</v>
      </c>
      <c r="D16" s="6" t="str">
        <f>IFERROR(__xludf.DUMMYFUNCTION("AI(""Get carbohydrate content in grams per 100g for "" &amp; A16 &amp; "" from USDA. Return only the number. "")"),"5.8")</f>
        <v>5.8</v>
      </c>
      <c r="E16" s="6" t="str">
        <f>IFERROR(__xludf.DUMMYFUNCTION("AI(""Get total fat content in grams per 100g for "" &amp; A16 &amp; "" from USDA. Return only the number."")"),"0.1")</f>
        <v>0.1</v>
      </c>
      <c r="F16" s="8" t="str">
        <f>IFERROR(__xludf.DUMMYFUNCTION("AI(""Write 2 to 5 lines about the benefits and harms of "" &amp; A16 &amp; "". Keep it concise and objective."")"),"Cabbage is rich in vitamins C and K, fiber, and antioxidants, which may support heart health, aid digestion, and offer anti-inflammatory and potential anti-cancer benefits. Its high vitamin K content can interfere with blood-thinning medications like warf"&amp;"arin. In some individuals, particularly those with IBS, consuming large amounts may cause gas, bloating, and other digestive discomfort. High intake may also be a concern for people with an under-active thyroid.")</f>
        <v>Cabbage is rich in vitamins C and K, fiber, and antioxidants, which may support heart health, aid digestion, and offer anti-inflammatory and potential anti-cancer benefits. Its high vitamin K content can interfere with blood-thinning medications like warfarin. In some individuals, particularly those with IBS, consuming large amounts may cause gas, bloating, and other digestive discomfort. High intake may also be a concern for people with an under-active thyroid.</v>
      </c>
    </row>
    <row r="17" ht="22.5" customHeight="1">
      <c r="A17" s="12" t="s">
        <v>24</v>
      </c>
      <c r="B17" s="5" t="str">
        <f>IFERROR(__xludf.DUMMYFUNCTION("AI(""Get the calories per 100g for "" &amp; A17 &amp; "" from USDA database. Return only the numeric value (integer)."")"),"257")</f>
        <v>257</v>
      </c>
      <c r="C17" s="6" t="str">
        <f>IFERROR(__xludf.DUMMYFUNCTION("AI(""Get protein content in grams per 100g for "" &amp; A17 &amp; "" from USDA. Return only the number."")"),"3.7")</f>
        <v>3.7</v>
      </c>
      <c r="D17" s="6" t="str">
        <f>IFERROR(__xludf.DUMMYFUNCTION("AI(""Get carbohydrate content in grams per 100g for "" &amp; A17 &amp; "" from USDA. Return only the number. "")"),"51.2")</f>
        <v>51.2</v>
      </c>
      <c r="E17" s="6" t="str">
        <f>IFERROR(__xludf.DUMMYFUNCTION("AI(""Get total fat content in grams per 100g for "" &amp; A17 &amp; "" from USDA. Return only the number."")"),"0.3")</f>
        <v>0.3</v>
      </c>
      <c r="F17" s="8" t="str">
        <f>IFERROR(__xludf.DUMMYFUNCTION("AI(""Write 2 to 5 lines about the benefits and harms of "" &amp; A17 &amp; "". Keep it concise and objective."")"),"Cake provides energy and can offer nutrients (protein, vitamins) from ingredients like eggs, milk, fruits, and nuts. However, it is often high in sugar, unhealthy fats, and calories. It may contain harmful additives like artificial colors and high-fructos"&amp;"e corn syrup, and excessive consumption is linked to risks such as obesity, poor dental health, and increased cardiovascular issues.")</f>
        <v>Cake provides energy and can offer nutrients (protein, vitamins) from ingredients like eggs, milk, fruits, and nuts. However, it is often high in sugar, unhealthy fats, and calories. It may contain harmful additives like artificial colors and high-fructose corn syrup, and excessive consumption is linked to risks such as obesity, poor dental health, and increased cardiovascular issues.</v>
      </c>
    </row>
    <row r="18" ht="22.5" customHeight="1">
      <c r="A18" s="12" t="s">
        <v>25</v>
      </c>
      <c r="B18" s="5" t="str">
        <f>IFERROR(__xludf.DUMMYFUNCTION("AI(""Get the calories per 100g for "" &amp; A18 &amp; "" from USDA database. Return only the numeric value (integer)."")"),"41")</f>
        <v>41</v>
      </c>
      <c r="C18" s="6" t="str">
        <f>IFERROR(__xludf.DUMMYFUNCTION("AI(""Get protein content in grams per 100g for "" &amp; A18 &amp; "" from USDA. Return only the number."")"),"0.93")</f>
        <v>0.93</v>
      </c>
      <c r="D18" s="6" t="str">
        <f>IFERROR(__xludf.DUMMYFUNCTION("AI(""Get carbohydrate content in grams per 100g for "" &amp; A18 &amp; "" from USDA. Return only the number. "")"),"9.6")</f>
        <v>9.6</v>
      </c>
      <c r="E18" s="6" t="str">
        <f>IFERROR(__xludf.DUMMYFUNCTION("AI(""Get total fat content in grams per 100g for "" &amp; A18 &amp; "" from USDA. Return only the number."")"),"0.24")</f>
        <v>0.24</v>
      </c>
      <c r="F18" s="8" t="str">
        <f>IFERROR(__xludf.DUMMYFUNCTION("AI(""Write 2 to 5 lines about the benefits and harms of "" &amp; A18 &amp; "". Keep it concise and objective."")"),"Carrots are an excellent source of beta-carotene, fiber, and antioxidants, which support eye health, immune function, and may help reduce the risk of certain cancers and cardiovascular issues. Their fiber content also aids in digestive health and blood su"&amp;"gar control. The primary harmless side effect is carotenemia, an orange-yellow skin discoloration from over-consuming beta-carotene. Rare risks include allergic reactions and potential interference with diabetes medications due to blood sugar-lowering eff"&amp;"ects.")</f>
        <v>Carrots are an excellent source of beta-carotene, fiber, and antioxidants, which support eye health, immune function, and may help reduce the risk of certain cancers and cardiovascular issues. Their fiber content also aids in digestive health and blood sugar control. The primary harmless side effect is carotenemia, an orange-yellow skin discoloration from over-consuming beta-carotene. Rare risks include allergic reactions and potential interference with diabetes medications due to blood sugar-lowering effects.</v>
      </c>
    </row>
    <row r="19" ht="22.5" customHeight="1">
      <c r="A19" s="12" t="s">
        <v>26</v>
      </c>
      <c r="B19" s="5" t="str">
        <f>IFERROR(__xludf.DUMMYFUNCTION("AI(""Get the calories per 100g for "" &amp; A19 &amp; "" from USDA database. Return only the numeric value (integer)."")"),"25")</f>
        <v>25</v>
      </c>
      <c r="C19" s="6" t="str">
        <f>IFERROR(__xludf.DUMMYFUNCTION("AI(""Get protein content in grams per 100g for "" &amp; A19 &amp; "" from USDA. Return only the number."")"),"1.9")</f>
        <v>1.9</v>
      </c>
      <c r="D19" s="6" t="str">
        <f>IFERROR(__xludf.DUMMYFUNCTION("AI(""Get carbohydrate content in grams per 100g for "" &amp; A19 &amp; "" from USDA. Return only the number. "")"),"5")</f>
        <v>5</v>
      </c>
      <c r="E19" s="6" t="str">
        <f>IFERROR(__xludf.DUMMYFUNCTION("AI(""Get total fat content in grams per 100g for "" &amp; A19 &amp; "" from USDA. Return only the number."")"),"0.28")</f>
        <v>0.28</v>
      </c>
      <c r="F19" s="8" t="str">
        <f>IFERROR(__xludf.DUMMYFUNCTION("AI(""Write 2 to 5 lines about the benefits and harms of "" &amp; A19 &amp; "". Keep it concise and objective."")"),"Cauliflower is rich in vitamins C and K, folate, and fiber, supporting immune health and digestion while being low in calories. Its antioxidants, like sulforaphane, are studied for potential anti-cancer and anti-inflammatory effects. However, its high fib"&amp;"er content can cause gas or bloating, and its vitamin K concentration may interfere with blood-thinning medications.")</f>
        <v>Cauliflower is rich in vitamins C and K, folate, and fiber, supporting immune health and digestion while being low in calories. Its antioxidants, like sulforaphane, are studied for potential anti-cancer and anti-inflammatory effects. However, its high fiber content can cause gas or bloating, and its vitamin K concentration may interfere with blood-thinning medications.</v>
      </c>
    </row>
    <row r="20" ht="22.5" customHeight="1">
      <c r="A20" s="12" t="s">
        <v>27</v>
      </c>
      <c r="B20" s="5" t="str">
        <f>IFERROR(__xludf.DUMMYFUNCTION("AI(""Get the calories per 100g for "" &amp; A20 &amp; "" from USDA database. Return only the numeric value (integer)."")"),"402")</f>
        <v>402</v>
      </c>
      <c r="C20" s="6" t="str">
        <f>IFERROR(__xludf.DUMMYFUNCTION("AI(""Get protein content in grams per 100g for "" &amp; A20 &amp; "" from USDA. Return only the number."")"),"27")</f>
        <v>27</v>
      </c>
      <c r="D20" s="6" t="str">
        <f>IFERROR(__xludf.DUMMYFUNCTION("AI(""Get carbohydrate content in grams per 100g for "" &amp; A20 &amp; "" from USDA. Return only the number. "")"),"1.3")</f>
        <v>1.3</v>
      </c>
      <c r="E20" s="6" t="str">
        <f>IFERROR(__xludf.DUMMYFUNCTION("AI(""Get total fat content in grams per 100g for "" &amp; A20 &amp; "" from USDA. Return only the number."")"),"33.1")</f>
        <v>33.1</v>
      </c>
      <c r="F20" s="8" t="str">
        <f>IFERROR(__xludf.DUMMYFUNCTION("AI(""Write 2 to 5 lines about the benefits and harms of "" &amp; A20 &amp; "". Keep it concise and objective."")"),"Cheese is a beneficial source of high-quality protein and calcium, essential for strong bones and muscle health. However, most varieties are high in saturated fat and sodium, which can raise cholesterol and blood pressure if consumed in excess. It is reco"&amp;"mmended to eat cheese in moderation and choose lower-fat or lower-sodium types.")</f>
        <v>Cheese is a beneficial source of high-quality protein and calcium, essential for strong bones and muscle health. However, most varieties are high in saturated fat and sodium, which can raise cholesterol and blood pressure if consumed in excess. It is recommended to eat cheese in moderation and choose lower-fat or lower-sodium types.</v>
      </c>
    </row>
    <row r="21" ht="22.5" customHeight="1">
      <c r="A21" s="12" t="s">
        <v>28</v>
      </c>
      <c r="B21" s="5" t="str">
        <f>IFERROR(__xludf.DUMMYFUNCTION("AI(""Get the calories per 100g for "" &amp; A21 &amp; "" from USDA database. Return only the numeric value (integer)."")"),"321")</f>
        <v>321</v>
      </c>
      <c r="C21" s="6" t="str">
        <f>IFERROR(__xludf.DUMMYFUNCTION("AI(""Get protein content in grams per 100g for "" &amp; A21 &amp; "" from USDA. Return only the number."")"),"5.5")</f>
        <v>5.5</v>
      </c>
      <c r="D21" s="6" t="str">
        <f>IFERROR(__xludf.DUMMYFUNCTION("AI(""Get carbohydrate content in grams per 100g for "" &amp; A21 &amp; "" from USDA. Return only the number. "")"),"26")</f>
        <v>26</v>
      </c>
      <c r="E21" s="6" t="str">
        <f>IFERROR(__xludf.DUMMYFUNCTION("AI(""Get total fat content in grams per 100g for "" &amp; A21 &amp; "" from USDA. Return only the number."")"),"23")</f>
        <v>23</v>
      </c>
      <c r="F21" s="8" t="str">
        <f>IFERROR(__xludf.DUMMYFUNCTION("AI(""Write 2 to 5 lines about the benefits and harms of "" &amp; A21 &amp; "". Keep it concise and objective."")"),"Cheesecake is a dessert typically high in calories, saturated fat, and added sugar, which can contribute to weight gain and elevated cholesterol if consumed regularly. It offers minimal nutritional value, but can be enjoyed occasionally in small portions "&amp;"for pleasure as part of a healthy diet. Healthier, protein-enhanced varieties can offer a source of protein and bone-supporting nutrients while being lower in sugar.")</f>
        <v>Cheesecake is a dessert typically high in calories, saturated fat, and added sugar, which can contribute to weight gain and elevated cholesterol if consumed regularly. It offers minimal nutritional value, but can be enjoyed occasionally in small portions for pleasure as part of a healthy diet. Healthier, protein-enhanced varieties can offer a source of protein and bone-supporting nutrients while being lower in sugar.</v>
      </c>
    </row>
    <row r="22" ht="22.5" customHeight="1">
      <c r="A22" s="12" t="s">
        <v>29</v>
      </c>
      <c r="B22" s="5" t="str">
        <f>IFERROR(__xludf.DUMMYFUNCTION("AI(""Get the calories per 100g for "" &amp; A22 &amp; "" from USDA database. Return only the numeric value (integer)."")"),"165")</f>
        <v>165</v>
      </c>
      <c r="C22" s="6" t="str">
        <f>IFERROR(__xludf.DUMMYFUNCTION("AI(""Get protein content in grams per 100g for "" &amp; A22 &amp; "" from USDA. Return only the number."")"),"31")</f>
        <v>31</v>
      </c>
      <c r="D22" s="6" t="str">
        <f>IFERROR(__xludf.DUMMYFUNCTION("AI(""Get carbohydrate content in grams per 100g for "" &amp; A22 &amp; "" from USDA. Return only the number. "")"),"0")</f>
        <v>0</v>
      </c>
      <c r="E22" s="6" t="str">
        <f>IFERROR(__xludf.DUMMYFUNCTION("AI(""Get total fat content in grams per 100g for "" &amp; A22 &amp; "" from USDA. Return only the number."")"),"3.6")</f>
        <v>3.6</v>
      </c>
      <c r="F22" s="8" t="str">
        <f>IFERROR(__xludf.DUMMYFUNCTION("AI(""Write 2 to 5 lines about the benefits and harms of "" &amp; A22 &amp; "". Keep it concise and objective."")"),"Chicken is an excellent source of lean, high-quality protein that aids in muscle maintenance and weight management. It is rich in essential nutrients such as B vitamins, iron, and zinc, supporting immunity and nerve function. Potential risks include foodb"&amp;"orne illness from bacteria like Salmonella if not cooked to 165°F (74°C). The skin and unhealthy preparation methods, such as deep-frying, significantly increase saturated fat, which can negatively impact heart health.")</f>
        <v>Chicken is an excellent source of lean, high-quality protein that aids in muscle maintenance and weight management. It is rich in essential nutrients such as B vitamins, iron, and zinc, supporting immunity and nerve function. Potential risks include foodborne illness from bacteria like Salmonella if not cooked to 165°F (74°C). The skin and unhealthy preparation methods, such as deep-frying, significantly increase saturated fat, which can negatively impact heart health.</v>
      </c>
    </row>
    <row r="23" ht="22.5" customHeight="1">
      <c r="A23" s="12" t="s">
        <v>30</v>
      </c>
      <c r="B23" s="5" t="str">
        <f>IFERROR(__xludf.DUMMYFUNCTION("AI(""Get the calories per 100g for "" &amp; A23 &amp; "" from USDA database. Return only the numeric value (integer)."")"),"354")</f>
        <v>354</v>
      </c>
      <c r="C23" s="6" t="str">
        <f>IFERROR(__xludf.DUMMYFUNCTION("AI(""Get protein content in grams per 100g for "" &amp; A23 &amp; "" from USDA. Return only the number."")"),"3.3")</f>
        <v>3.3</v>
      </c>
      <c r="D23" s="6" t="str">
        <f>IFERROR(__xludf.DUMMYFUNCTION("AI(""Get carbohydrate content in grams per 100g for "" &amp; A23 &amp; "" from USDA. Return only the number. "")"),"15")</f>
        <v>15</v>
      </c>
      <c r="E23" s="6" t="str">
        <f>IFERROR(__xludf.DUMMYFUNCTION("AI(""Get total fat content in grams per 100g for "" &amp; A23 &amp; "" from USDA. Return only the number."")"),"33")</f>
        <v>33</v>
      </c>
      <c r="F23" s="8" t="str">
        <f>IFERROR(__xludf.DUMMYFUNCTION("AI(""Write 2 to 5 lines about the benefits and harms of "" &amp; A23 &amp; "". Keep it concise and objective."")"),"Coconut contains MCTs, which may aid in fat burning, and is rich in fiber and antioxidants. However, coconut oil is high in saturated fat, primarily lauric acid, which can raise LDL cholesterol, potentially increasing cardiovascular risk. Coconut and its "&amp;"derivatives are also very high in calories, and eating large amounts may lead to weight gain. Allergic reactions, though rare, can be severe.")</f>
        <v>Coconut contains MCTs, which may aid in fat burning, and is rich in fiber and antioxidants. However, coconut oil is high in saturated fat, primarily lauric acid, which can raise LDL cholesterol, potentially increasing cardiovascular risk. Coconut and its derivatives are also very high in calories, and eating large amounts may lead to weight gain. Allergic reactions, though rare, can be severe.</v>
      </c>
    </row>
    <row r="24" ht="22.5" customHeight="1">
      <c r="A24" s="12" t="s">
        <v>31</v>
      </c>
      <c r="B24" s="5" t="str">
        <f>IFERROR(__xludf.DUMMYFUNCTION("AI(""Get the calories per 100g for "" &amp; A24 &amp; "" from USDA database. Return only the numeric value (integer)."")"),"37")</f>
        <v>37</v>
      </c>
      <c r="C24" s="6" t="str">
        <f>IFERROR(__xludf.DUMMYFUNCTION("AI(""Get protein content in grams per 100g for "" &amp; A24 &amp; "" from USDA. Return only the number."")"),"0")</f>
        <v>0</v>
      </c>
      <c r="D24" s="6" t="str">
        <f>IFERROR(__xludf.DUMMYFUNCTION("AI(""Get carbohydrate content in grams per 100g for "" &amp; A24 &amp; "" from USDA. Return only the number. "")"),"9.6")</f>
        <v>9.6</v>
      </c>
      <c r="E24" s="6" t="str">
        <f>IFERROR(__xludf.DUMMYFUNCTION("AI(""Get total fat content in grams per 100g for "" &amp; A24 &amp; "" from USDA. Return only the number."")"),"0")</f>
        <v>0</v>
      </c>
      <c r="F24" s="7" t="str">
        <f>IFERROR(__xludf.DUMMYFUNCTION("AI(""Write 2 to 5 lines about the benefits and harms of "" &amp; A24 &amp; "". Keep it concise and objective."")"),"Coke offers a sweet taste and a temporary boost from caffeine but provides empty calories and no essential nutrients. Regular consumption is strongly linked to weight gain, obesity, Type 2 diabetes, and heart disease due to high sugar content. Its acidity"&amp;" also contributes to tooth enamel erosion and decay. While an occasional drink is unlikely to cause major harm, moderation is key.")</f>
        <v>Coke offers a sweet taste and a temporary boost from caffeine but provides empty calories and no essential nutrients. Regular consumption is strongly linked to weight gain, obesity, Type 2 diabetes, and heart disease due to high sugar content. Its acidity also contributes to tooth enamel erosion and decay. While an occasional drink is unlikely to cause major harm, moderation is key.</v>
      </c>
    </row>
    <row r="25" ht="22.5" customHeight="1">
      <c r="A25" s="12" t="s">
        <v>32</v>
      </c>
      <c r="B25" s="5" t="str">
        <f>IFERROR(__xludf.DUMMYFUNCTION("AI(""Get the calories per 100g for "" &amp; A25 &amp; "" from USDA database. Return only the numeric value (integer)."")"),"489")</f>
        <v>489</v>
      </c>
      <c r="C25" s="6" t="str">
        <f>IFERROR(__xludf.DUMMYFUNCTION("AI(""Get protein content in grams per 100g for "" &amp; A25 &amp; "" from USDA. Return only the number."")"),"5.1")</f>
        <v>5.1</v>
      </c>
      <c r="D25" s="6" t="str">
        <f>IFERROR(__xludf.DUMMYFUNCTION("AI(""Get carbohydrate content in grams per 100g for "" &amp; A25 &amp; "" from USDA. Return only the number. "")"),"66")</f>
        <v>66</v>
      </c>
      <c r="E25" s="6" t="str">
        <f>IFERROR(__xludf.DUMMYFUNCTION("AI(""Get total fat content in grams per 100g for "" &amp; A25 &amp; "" from USDA. Return only the number."")"),"20")</f>
        <v>20</v>
      </c>
      <c r="F25" s="8" t="str">
        <f>IFERROR(__xludf.DUMMYFUNCTION("AI(""Write 2 to 5 lines about the benefits and harms of "" &amp; A25 &amp; "". Keep it concise and objective."")"),"Cookies provide a quick source of energy due to their high calorie and carbohydrate content. Typical recipes are high in sugar, saturated fat, and overall calories, which can contribute to weight gain if overconsumed. As a processed snack, they are often "&amp;"low in beneficial vitamins, minerals, and fiber.")</f>
        <v>Cookies provide a quick source of energy due to their high calorie and carbohydrate content. Typical recipes are high in sugar, saturated fat, and overall calories, which can contribute to weight gain if overconsumed. As a processed snack, they are often low in beneficial vitamins, minerals, and fiber.</v>
      </c>
    </row>
    <row r="26" ht="22.5" customHeight="1">
      <c r="A26" s="12" t="s">
        <v>33</v>
      </c>
      <c r="B26" s="5" t="str">
        <f>IFERROR(__xludf.DUMMYFUNCTION("AI(""Get the calories per 100g for "" &amp; A26 &amp; "" from USDA database. Return only the numeric value (integer)."")"),"96")</f>
        <v>96</v>
      </c>
      <c r="C26" s="6" t="str">
        <f>IFERROR(__xludf.DUMMYFUNCTION("AI(""Get protein content in grams per 100g for "" &amp; A26 &amp; "" from USDA. Return only the number."")"),"3.4")</f>
        <v>3.4</v>
      </c>
      <c r="D26" s="6" t="str">
        <f>IFERROR(__xludf.DUMMYFUNCTION("AI(""Get carbohydrate content in grams per 100g for "" &amp; A26 &amp; "" from USDA. Return only the number. "")"),"21")</f>
        <v>21</v>
      </c>
      <c r="E26" s="6" t="str">
        <f>IFERROR(__xludf.DUMMYFUNCTION("AI(""Get total fat content in grams per 100g for "" &amp; A26 &amp; "" from USDA. Return only the number."")"),"1.5")</f>
        <v>1.5</v>
      </c>
      <c r="F26" s="8" t="str">
        <f>IFERROR(__xludf.DUMMYFUNCTION("AI(""Write 2 to 5 lines about the benefits and harms of "" &amp; A26 &amp; "". Keep it concise and objective."")"),"Corn is a good source of fiber, antioxidants (like lutein and zeaxanthin for eye health), and various vitamins and minerals. As a starchy food, it can affect blood sugar, and highly processed forms like high-fructose corn syrup are linked to increased hea"&amp;"lth risks such as obesity and diabetes. There is also a small risk of mycotoxin contamination in some crops.")</f>
        <v>Corn is a good source of fiber, antioxidants (like lutein and zeaxanthin for eye health), and various vitamins and minerals. As a starchy food, it can affect blood sugar, and highly processed forms like high-fructose corn syrup are linked to increased health risks such as obesity and diabetes. There is also a small risk of mycotoxin contamination in some crops.</v>
      </c>
    </row>
    <row r="27" ht="22.5" customHeight="1">
      <c r="A27" s="12" t="s">
        <v>34</v>
      </c>
      <c r="B27" s="5" t="str">
        <f>IFERROR(__xludf.DUMMYFUNCTION("AI(""Get the calories per 100g for "" &amp; A27 &amp; "" from USDA database. Return only the numeric value (integer)."")"),"406")</f>
        <v>406</v>
      </c>
      <c r="C27" s="6" t="str">
        <f>IFERROR(__xludf.DUMMYFUNCTION("AI(""Get protein content in grams per 100g for "" &amp; A27 &amp; "" from USDA. Return only the number."")"),"8.2")</f>
        <v>8.2</v>
      </c>
      <c r="D27" s="6" t="str">
        <f>IFERROR(__xludf.DUMMYFUNCTION("AI(""Get carbohydrate content in grams per 100g for "" &amp; A27 &amp; "" from USDA. Return only the number. "")"),"46")</f>
        <v>46</v>
      </c>
      <c r="E27" s="6" t="str">
        <f>IFERROR(__xludf.DUMMYFUNCTION("AI(""Get total fat content in grams per 100g for "" &amp; A27 &amp; "" from USDA. Return only the number."")"),"21")</f>
        <v>21</v>
      </c>
      <c r="F27" s="8" t="str">
        <f>IFERROR(__xludf.DUMMYFUNCTION("AI(""Write 2 to 5 lines about the benefits and harms of "" &amp; A27 &amp; "". Keep it concise and objective."")"),"Croissants offer quick energy from carbohydrates and fat, along with minimal micronutrients like B vitamins. However, they are high in saturated fat and calories; regular consumption can increase LDL cholesterol levels and contribute to weight gain. Due t"&amp;"o their refined flour and low fiber, they are not nutrient-dense and are best enjoyed as an occasional treat, ideally paired with high-protein and high-fiber foods.")</f>
        <v>Croissants offer quick energy from carbohydrates and fat, along with minimal micronutrients like B vitamins. However, they are high in saturated fat and calories; regular consumption can increase LDL cholesterol levels and contribute to weight gain. Due to their refined flour and low fiber, they are not nutrient-dense and are best enjoyed as an occasional treat, ideally paired with high-protein and high-fiber foods.</v>
      </c>
    </row>
    <row r="28" ht="22.5" customHeight="1">
      <c r="A28" s="12" t="s">
        <v>35</v>
      </c>
      <c r="B28" s="5" t="str">
        <f>IFERROR(__xludf.DUMMYFUNCTION("AI(""Get the calories per 100g for "" &amp; A28 &amp; "" from USDA database. Return only the numeric value (integer)."")"),"14")</f>
        <v>14</v>
      </c>
      <c r="C28" s="6" t="str">
        <f>IFERROR(__xludf.DUMMYFUNCTION("AI(""Get protein content in grams per 100g for "" &amp; A28 &amp; "" from USDA. Return only the number."")"),"1.2")</f>
        <v>1.2</v>
      </c>
      <c r="D28" s="6" t="str">
        <f>IFERROR(__xludf.DUMMYFUNCTION("AI(""Get carbohydrate content in grams per 100g for "" &amp; A28 &amp; "" from USDA. Return only the number. "")"),"3.65")</f>
        <v>3.65</v>
      </c>
      <c r="E28" s="6" t="str">
        <f>IFERROR(__xludf.DUMMYFUNCTION("AI(""Get total fat content in grams per 100g for "" &amp; A28 &amp; "" from USDA. Return only the number."")"),"0.1")</f>
        <v>0.1</v>
      </c>
      <c r="F28" s="8" t="str">
        <f>IFERROR(__xludf.DUMMYFUNCTION("AI(""Write 2 to 5 lines about the benefits and harms of "" &amp; A28 &amp; "". Keep it concise and objective."")"),"Cucumber is highly hydrating (95% water) and low in calories, providing vitamins (K, C) and antioxidants that support anti-inflammation, heart, and digestive health. Overconsumption may cause digestive upset like bloating or gas in some people. Individual"&amp;"s on blood thinners or with kidney conditions should consult a doctor due to its vitamin K and potassium content.")</f>
        <v>Cucumber is highly hydrating (95% water) and low in calories, providing vitamins (K, C) and antioxidants that support anti-inflammation, heart, and digestive health. Overconsumption may cause digestive upset like bloating or gas in some people. Individuals on blood thinners or with kidney conditions should consult a doctor due to its vitamin K and potassium content.</v>
      </c>
    </row>
    <row r="29" ht="22.5" customHeight="1">
      <c r="A29" s="12" t="s">
        <v>36</v>
      </c>
      <c r="B29" s="5" t="str">
        <f>IFERROR(__xludf.DUMMYFUNCTION("AI(""Get the calories per 100g for "" &amp; A29 &amp; "" from USDA database. Return only the numeric value (integer)."")"),"434")</f>
        <v>434</v>
      </c>
      <c r="C29" s="6" t="str">
        <f>IFERROR(__xludf.DUMMYFUNCTION("AI(""Get protein content in grams per 100g for "" &amp; A29 &amp; "" from USDA. Return only the number."")"),"5.3")</f>
        <v>5.3</v>
      </c>
      <c r="D29" s="6" t="str">
        <f>IFERROR(__xludf.DUMMYFUNCTION("AI(""Get carbohydrate content in grams per 100g for "" &amp; A29 &amp; "" from USDA. Return only the number. "")"),"47")</f>
        <v>47</v>
      </c>
      <c r="E29" s="6" t="str">
        <f>IFERROR(__xludf.DUMMYFUNCTION("AI(""Get total fat content in grams per 100g for "" &amp; A29 &amp; "" from USDA. Return only the number."")"),"25")</f>
        <v>25</v>
      </c>
      <c r="F29" s="8" t="str">
        <f>IFERROR(__xludf.DUMMYFUNCTION("AI(""Write 2 to 5 lines about the benefits and harms of "" &amp; A29 &amp; "". Keep it concise and objective."")"),"Donuts are high in calories, sugar, and refined carbohydrates, offering minimal protein or fiber. They often contain unhealthy fats from deep frying, including trans fats, which can negatively impact cholesterol. Excessive consumption is linked to increas"&amp;"ed risks of weight gain, insulin resistance, and cardiovascular issues.")</f>
        <v>Donuts are high in calories, sugar, and refined carbohydrates, offering minimal protein or fiber. They often contain unhealthy fats from deep frying, including trans fats, which can negatively impact cholesterol. Excessive consumption is linked to increased risks of weight gain, insulin resistance, and cardiovascular issues.</v>
      </c>
    </row>
    <row r="30" ht="22.5" customHeight="1">
      <c r="A30" s="12" t="s">
        <v>37</v>
      </c>
      <c r="B30" s="5" t="str">
        <f>IFERROR(__xludf.DUMMYFUNCTION("AI(""Get the calories per 100g for "" &amp; A30 &amp; "" from USDA database. Return only the numeric value (integer)."")"),"300")</f>
        <v>300</v>
      </c>
      <c r="C30" s="6" t="str">
        <f>IFERROR(__xludf.DUMMYFUNCTION("AI(""Get protein content in grams per 100g for "" &amp; A30 &amp; "" from USDA. Return only the number."")"),"62.8")</f>
        <v>62.8</v>
      </c>
      <c r="D30" s="6" t="str">
        <f>IFERROR(__xludf.DUMMYFUNCTION("AI(""Get carbohydrate content in grams per 100g for "" &amp; A30 &amp; "" from USDA. Return only the number. "")"),"0.0")</f>
        <v>0.0</v>
      </c>
      <c r="E30" s="6" t="str">
        <f>IFERROR(__xludf.DUMMYFUNCTION("AI(""Get total fat content in grams per 100g for "" &amp; A30 &amp; "" from USDA. Return only the number."")"),"13.4")</f>
        <v>13.4</v>
      </c>
      <c r="F30" s="8" t="str">
        <f>IFERROR(__xludf.DUMMYFUNCTION("AI(""Write 2 to 5 lines about the benefits and harms of "" &amp; A30 &amp; "". Keep it concise and objective."")"),"Dried fish is a nutrient-dense food, providing high-quality protein, essential minerals like calcium, iron, and zinc, and omega-3 fatty acids, which is valuable for nutrition and food security. Potential drawbacks include high sodium/salt content in some "&amp;"preparations and risks of contamination from heavy metals, pesticides, or microbial issues due to improper drying and handling. The drying process can also degrade certain nutrients, such as Vitamin A.")</f>
        <v>Dried fish is a nutrient-dense food, providing high-quality protein, essential minerals like calcium, iron, and zinc, and omega-3 fatty acids, which is valuable for nutrition and food security. Potential drawbacks include high sodium/salt content in some preparations and risks of contamination from heavy metals, pesticides, or microbial issues due to improper drying and handling. The drying process can also degrade certain nutrients, such as Vitamin A.</v>
      </c>
    </row>
    <row r="31" ht="22.5" customHeight="1">
      <c r="A31" s="12" t="s">
        <v>38</v>
      </c>
      <c r="B31" s="5" t="str">
        <f>IFERROR(__xludf.DUMMYFUNCTION("AI(""Get the calories per 100g for "" &amp; A31 &amp; "" from USDA database. Return only the numeric value (integer)."")"),"131")</f>
        <v>131</v>
      </c>
      <c r="C31" s="6" t="str">
        <f>IFERROR(__xludf.DUMMYFUNCTION("AI(""Get protein content in grams per 100g for "" &amp; A31 &amp; "" from USDA. Return only the number."")"),"12.6")</f>
        <v>12.6</v>
      </c>
      <c r="D31" s="6" t="str">
        <f>IFERROR(__xludf.DUMMYFUNCTION("AI(""Get carbohydrate content in grams per 100g for "" &amp; A31 &amp; "" from USDA. Return only the number. "")"),"0.82")</f>
        <v>0.82</v>
      </c>
      <c r="E31" s="6" t="str">
        <f>IFERROR(__xludf.DUMMYFUNCTION("AI(""Get total fat content in grams per 100g for "" &amp; A31 &amp; "" from USDA. Return only the number."")"),"23")</f>
        <v>23</v>
      </c>
      <c r="F31" s="8" t="str">
        <f>IFERROR(__xludf.DUMMYFUNCTION("AI(""Write 2 to 5 lines about the benefits and harms of "" &amp; A31 &amp; "". Keep it concise and objective."")"),"Eggs are a nutrient-dense source of high-quality protein, essential vitamins (B12, D), and choline, which supports brain health and metabolism. The primary concern is their high dietary cholesterol, which is debated but may be linked to increased cardiova"&amp;"scular and diabetes risk for high-intake or vulnerable groups. Additionally, there is a risk of Salmonella infection if eggs are consumed raw or undercooked.")</f>
        <v>Eggs are a nutrient-dense source of high-quality protein, essential vitamins (B12, D), and choline, which supports brain health and metabolism. The primary concern is their high dietary cholesterol, which is debated but may be linked to increased cardiovascular and diabetes risk for high-intake or vulnerable groups. Additionally, there is a risk of Salmonella infection if eggs are consumed raw or undercooked.</v>
      </c>
    </row>
    <row r="32" ht="22.5" customHeight="1">
      <c r="A32" s="12" t="s">
        <v>39</v>
      </c>
      <c r="B32" s="5" t="str">
        <f>IFERROR(__xludf.DUMMYFUNCTION("AI(""Get the calories per 100g for "" &amp; A32 &amp; "" from USDA database. Return only the numeric value (integer)."")"),"25")</f>
        <v>25</v>
      </c>
      <c r="C32" s="6" t="str">
        <f>IFERROR(__xludf.DUMMYFUNCTION("AI(""Get protein content in grams per 100g for "" &amp; A32 &amp; "" from USDA. Return only the number."")"),"0.85")</f>
        <v>0.85</v>
      </c>
      <c r="D32" s="6" t="str">
        <f>IFERROR(__xludf.DUMMYFUNCTION("AI(""Get carbohydrate content in grams per 100g for "" &amp; A32 &amp; "" from USDA. Return only the number. "")"),"5.4")</f>
        <v>5.4</v>
      </c>
      <c r="E32" s="6" t="str">
        <f>IFERROR(__xludf.DUMMYFUNCTION("AI(""Get total fat content in grams per 100g for "" &amp; A32 &amp; "" from USDA. Return only the number."")"),"0.18")</f>
        <v>0.18</v>
      </c>
      <c r="F32" s="8" t="str">
        <f>IFERROR(__xludf.DUMMYFUNCTION("AI(""Write 2 to 5 lines about the benefits and harms of "" &amp; A32 &amp; "". Keep it concise and objective."")"),"Eggplant is rich in fiber, vitamins, and antioxidants like nasunin, which support heart health, aid digestion, and may help with blood sugar control. As a nightshade vegetable, it can trigger sensitivities or allergic reactions in some individuals and con"&amp;"tains oxalates, a concern for those prone to kidney stones. It may also worsen inflammatory conditions or cause issues for those with histamine intolerance or low blood pressure. Frying significantly increases fat and calories as the spongy flesh absorbs "&amp;"a large amount of oil.")</f>
        <v>Eggplant is rich in fiber, vitamins, and antioxidants like nasunin, which support heart health, aid digestion, and may help with blood sugar control. As a nightshade vegetable, it can trigger sensitivities or allergic reactions in some individuals and contains oxalates, a concern for those prone to kidney stones. It may also worsen inflammatory conditions or cause issues for those with histamine intolerance or low blood pressure. Frying significantly increases fat and calories as the spongy flesh absorbs a large amount of oil.</v>
      </c>
    </row>
    <row r="33" ht="22.5" customHeight="1">
      <c r="A33" s="12" t="s">
        <v>40</v>
      </c>
      <c r="B33" s="5" t="str">
        <f>IFERROR(__xludf.DUMMYFUNCTION("AI(""Get the calories per 100g for "" &amp; A33 &amp; "" from USDA database. Return only the numeric value (integer)."")"),"237")</f>
        <v>237</v>
      </c>
      <c r="C33" s="6" t="str">
        <f>IFERROR(__xludf.DUMMYFUNCTION("AI(""Get protein content in grams per 100g for "" &amp; A33 &amp; "" from USDA. Return only the number."")"),"7.6")</f>
        <v>7.6</v>
      </c>
      <c r="D33" s="6" t="str">
        <f>IFERROR(__xludf.DUMMYFUNCTION("AI(""Get carbohydrate content in grams per 100g for "" &amp; A33 &amp; "" from USDA. Return only the number. "")"),"22.8")</f>
        <v>22.8</v>
      </c>
      <c r="E33" s="6" t="str">
        <f>IFERROR(__xludf.DUMMYFUNCTION("AI(""Get total fat content in grams per 100g for "" &amp; A33 &amp; "" from USDA. Return only the number."")"),"0.5")</f>
        <v>0.5</v>
      </c>
      <c r="F33" s="8" t="str">
        <f>IFERROR(__xludf.DUMMYFUNCTION("AI(""Write 2 to 5 lines about the benefits and harms of "" &amp; A33 &amp; "". Keep it concise and objective."")"),"Fasol, a bean-based food, is a source of plant-based protein and rich in dietary fiber, which aids digestive health and can help relieve constipation. However, due to its high fiber content and complex carbohydrates, excessive consumption may lead to comm"&amp;"on gastrointestinal side effects like gas, bloating, and abdominal discomfort in some individuals.")</f>
        <v>Fasol, a bean-based food, is a source of plant-based protein and rich in dietary fiber, which aids digestive health and can help relieve constipation. However, due to its high fiber content and complex carbohydrates, excessive consumption may lead to common gastrointestinal side effects like gas, bloating, and abdominal discomfort in some individuals.</v>
      </c>
    </row>
    <row r="34" ht="22.5" customHeight="1">
      <c r="A34" s="12" t="s">
        <v>41</v>
      </c>
      <c r="B34" s="5" t="str">
        <f>IFERROR(__xludf.DUMMYFUNCTION("AI(""Get the calories per 100g for "" &amp; A34 &amp; "" from USDA database. Return only the numeric value (integer)."")"),"74")</f>
        <v>74</v>
      </c>
      <c r="C34" s="6" t="str">
        <f>IFERROR(__xludf.DUMMYFUNCTION("AI(""Get protein content in grams per 100g for "" &amp; A34 &amp; "" from USDA. Return only the number."")"),"0.8")</f>
        <v>0.8</v>
      </c>
      <c r="D34" s="6" t="str">
        <f>IFERROR(__xludf.DUMMYFUNCTION("AI(""Get carbohydrate content in grams per 100g for "" &amp; A34 &amp; "" from USDA. Return only the number. "")"),"19.2")</f>
        <v>19.2</v>
      </c>
      <c r="E34" s="6" t="str">
        <f>IFERROR(__xludf.DUMMYFUNCTION("AI(""Get total fat content in grams per 100g for "" &amp; A34 &amp; "" from USDA. Return only the number."")"),"0.3")</f>
        <v>0.3</v>
      </c>
      <c r="F34" s="8" t="str">
        <f>IFERROR(__xludf.DUMMYFUNCTION("AI(""Write 2 to 5 lines about the benefits and harms of "" &amp; A34 &amp; "". Keep it concise and objective."")"),"Fig fruit is rich in fiber and minerals like potassium and calcium, supporting digestive and heart health. However, figs are high in natural sugar (especially dried), which can affect blood sugar levels, and excessive consumption may cause digestive issue"&amp;"s like diarrhea. Fig leaf may cause sun sensitivity and can interact with blood-thinning or diabetes medications.")</f>
        <v>Fig fruit is rich in fiber and minerals like potassium and calcium, supporting digestive and heart health. However, figs are high in natural sugar (especially dried), which can affect blood sugar levels, and excessive consumption may cause digestive issues like diarrhea. Fig leaf may cause sun sensitivity and can interact with blood-thinning or diabetes medications.</v>
      </c>
    </row>
    <row r="35" ht="22.5" customHeight="1">
      <c r="A35" s="12" t="s">
        <v>42</v>
      </c>
      <c r="B35" s="5" t="str">
        <f>IFERROR(__xludf.DUMMYFUNCTION("AI(""Get the calories per 100g for "" &amp; A35 &amp; "" from USDA database. Return only the numeric value (integer)."")"),"172")</f>
        <v>172</v>
      </c>
      <c r="C35" s="6" t="str">
        <f>IFERROR(__xludf.DUMMYFUNCTION("AI(""Get protein content in grams per 100g for "" &amp; A35 &amp; "" from USDA. Return only the number."")"),"18.9")</f>
        <v>18.9</v>
      </c>
      <c r="D35" s="6" t="str">
        <f>IFERROR(__xludf.DUMMYFUNCTION("AI(""Get carbohydrate content in grams per 100g for "" &amp; A35 &amp; "" from USDA. Return only the number. "")"),"0")</f>
        <v>0</v>
      </c>
      <c r="E35" s="6" t="str">
        <f>IFERROR(__xludf.DUMMYFUNCTION("AI(""Get total fat content in grams per 100g for "" &amp; A35 &amp; "" from USDA. Return only the number."")"),"4.21")</f>
        <v>4.21</v>
      </c>
      <c r="F35" s="8" t="str">
        <f>IFERROR(__xludf.DUMMYFUNCTION("AI(""Write 2 to 5 lines about the benefits and harms of "" &amp; A35 &amp; "". Keep it concise and objective."")"),"Fish is an excellent source of lean protein, vitamins (like D and B12), and minerals. Fatty fish is particularly rich in omega-3 fatty acids, which support heart and blood vessel health and are crucial for optimal brain development in babies. However, som"&amp;"e fish species can accumulate contaminants like mercury, which poses a risk to the nervous system, especially for pregnant women and young children, who are advised to limit or avoid high-mercury options.")</f>
        <v>Fish is an excellent source of lean protein, vitamins (like D and B12), and minerals. Fatty fish is particularly rich in omega-3 fatty acids, which support heart and blood vessel health and are crucial for optimal brain development in babies. However, some fish species can accumulate contaminants like mercury, which poses a risk to the nervous system, especially for pregnant women and young children, who are advised to limit or avoid high-mercury options.</v>
      </c>
    </row>
    <row r="36" ht="22.5" customHeight="1">
      <c r="A36" s="12" t="s">
        <v>43</v>
      </c>
      <c r="B36" s="5" t="str">
        <f>IFERROR(__xludf.DUMMYFUNCTION("AI(""Get the calories per 100g for "" &amp; A36 &amp; "" from USDA database. Return only the numeric value (integer)."")"),"333")</f>
        <v>333</v>
      </c>
      <c r="C36" s="6" t="str">
        <f>IFERROR(__xludf.DUMMYFUNCTION("AI(""Get protein content in grams per 100g for "" &amp; A36 &amp; "" from USDA. Return only the number."")"),"13")</f>
        <v>13</v>
      </c>
      <c r="D36" s="6" t="str">
        <f>IFERROR(__xludf.DUMMYFUNCTION("AI(""Get carbohydrate content in grams per 100g for "" &amp; A36 &amp; "" from USDA. Return only the number. "")"),"31.84")</f>
        <v>31.84</v>
      </c>
      <c r="E36" s="6" t="str">
        <f>IFERROR(__xludf.DUMMYFUNCTION("AI(""Get total fat content in grams per 100g for "" &amp; A36 &amp; "" from USDA. Return only the number."")"),"17.80")</f>
        <v>17.80</v>
      </c>
      <c r="F36" s="8" t="str">
        <f>IFERROR(__xludf.DUMMYFUNCTION("AI(""Write 2 to 5 lines about the benefits and harms of "" &amp; A36 &amp; "". Keep it concise and objective."")"),"Falafel is a good source of plant-based protein, fiber, and micronutrients, which can support heart health, blood sugar control, and digestion. Its high fiber and protein content can also help promote feelings of fullness. However, falafel is typically de"&amp;"ep-fried, which significantly increases its fat and calorie content, and high consumption of fried foods is linked to health risks. Healthier options involve baking or air-frying the patties.")</f>
        <v>Falafel is a good source of plant-based protein, fiber, and micronutrients, which can support heart health, blood sugar control, and digestion. Its high fiber and protein content can also help promote feelings of fullness. However, falafel is typically deep-fried, which significantly increases its fat and calorie content, and high consumption of fried foods is linked to health risks. Healthier options involve baking or air-frying the patties.</v>
      </c>
    </row>
    <row r="37" ht="22.5" customHeight="1">
      <c r="A37" s="12" t="s">
        <v>44</v>
      </c>
      <c r="B37" s="5" t="str">
        <f>IFERROR(__xludf.DUMMYFUNCTION("AI(""Get the calories per 100g for "" &amp; A37 &amp; "" from USDA database. Return only the numeric value (integer)."")"),"The user is asking for a calculation or formula, which is not supported. Please use the Gemini side panel instead.")</f>
        <v>The user is asking for a calculation or formula, which is not supported. Please use the Gemini side panel instead.</v>
      </c>
      <c r="C37" s="6" t="str">
        <f>IFERROR(__xludf.DUMMYFUNCTION("AI(""Get protein content in grams per 100g for "" &amp; A37 &amp; "" from USDA. Return only the number."")"),"0.0")</f>
        <v>0.0</v>
      </c>
      <c r="D37" s="6" t="str">
        <f>IFERROR(__xludf.DUMMYFUNCTION("AI(""Get carbohydrate content in grams per 100g for "" &amp; A37 &amp; "" from USDA. Return only the number. "")"),"0.0")</f>
        <v>0.0</v>
      </c>
      <c r="E37" s="6" t="str">
        <f>IFERROR(__xludf.DUMMYFUNCTION("AI(""Get total fat content in grams per 100g for "" &amp; A37 &amp; "" from USDA. Return only the number."")"),"9.3")</f>
        <v>9.3</v>
      </c>
      <c r="F37" s="8" t="str">
        <f>IFERROR(__xludf.DUMMYFUNCTION("AI(""Write 2 to 5 lines about the benefits and harms of "" &amp; A37 &amp; "". Keep it concise and objective."")"),"Foul, or fava beans, is rich in protein, fiber, and folate, supporting heart health and reducing the risk of birth defects. It also contains L-dopa, which may help with Parkinson's symptoms. However, it can cause digestive upset like gas and is highly dan"&amp;"gerous for individuals with the genetic disorder G6PD deficiency, as it can trigger a severe reaction called favism.")</f>
        <v>Foul, or fava beans, is rich in protein, fiber, and folate, supporting heart health and reducing the risk of birth defects. It also contains L-dopa, which may help with Parkinson's symptoms. However, it can cause digestive upset like gas and is highly dangerous for individuals with the genetic disorder G6PD deficiency, as it can trigger a severe reaction called favism.</v>
      </c>
    </row>
    <row r="38" ht="22.5" customHeight="1">
      <c r="A38" s="12" t="s">
        <v>45</v>
      </c>
      <c r="B38" s="5" t="str">
        <f>IFERROR(__xludf.DUMMYFUNCTION("AI(""Get the calories per 100g for "" &amp; A38 &amp; "" from USDA database. Return only the numeric value (integer)."")"),"230")</f>
        <v>230</v>
      </c>
      <c r="C38" s="6" t="str">
        <f>IFERROR(__xludf.DUMMYFUNCTION("AI(""Get protein content in grams per 100g for "" &amp; A38 &amp; "" from USDA. Return only the number."")"),"24")</f>
        <v>24</v>
      </c>
      <c r="D38" s="6" t="str">
        <f>IFERROR(__xludf.DUMMYFUNCTION("AI(""Get carbohydrate content in grams per 100g for "" &amp; A38 &amp; "" from USDA. Return only the number. "")"),"6")</f>
        <v>6</v>
      </c>
      <c r="E38" s="6" t="str">
        <f>IFERROR(__xludf.DUMMYFUNCTION("AI(""Get total fat content in grams per 100g for "" &amp; A38 &amp; "" from USDA. Return only the number."")"),"18.7")</f>
        <v>18.7</v>
      </c>
      <c r="F38" s="8" t="str">
        <f>IFERROR(__xludf.DUMMYFUNCTION("AI(""Write 2 to 5 lines about the benefits and harms of "" &amp; A38 &amp; "". Keep it concise and objective."")"),"Fried chicken offers protein and some micronutrients, but the deep-frying process adds high amounts of fat and calories. Regular consumption is associated with increased risks of heart disease, type 2 diabetes, and obesity due to high saturated/trans fat "&amp;"content and inflammatory compounds. Healthier options include air-frying or baking, and choosing lean cuts without the skin.")</f>
        <v>Fried chicken offers protein and some micronutrients, but the deep-frying process adds high amounts of fat and calories. Regular consumption is associated with increased risks of heart disease, type 2 diabetes, and obesity due to high saturated/trans fat content and inflammatory compounds. Healthier options include air-frying or baking, and choosing lean cuts without the skin.</v>
      </c>
    </row>
    <row r="39" ht="22.5" customHeight="1">
      <c r="A39" s="12" t="s">
        <v>46</v>
      </c>
      <c r="B39" s="5" t="str">
        <f>IFERROR(__xludf.DUMMYFUNCTION("AI(""Get the calories per 100g for "" &amp; A39 &amp; "" from USDA database. Return only the numeric value (integer)."")"),"151")</f>
        <v>151</v>
      </c>
      <c r="C39" s="6" t="str">
        <f>IFERROR(__xludf.DUMMYFUNCTION("AI(""Get protein content in grams per 100g for "" &amp; A39 &amp; "" from USDA. Return only the number."")"),"3.66")</f>
        <v>3.66</v>
      </c>
      <c r="D39" s="6" t="str">
        <f>IFERROR(__xludf.DUMMYFUNCTION("AI(""Get carbohydrate content in grams per 100g for "" &amp; A39 &amp; "" from USDA. Return only the number. "")"),"16.7")</f>
        <v>16.7</v>
      </c>
      <c r="E39" s="6" t="str">
        <f>IFERROR(__xludf.DUMMYFUNCTION("AI(""Get total fat content in grams per 100g for "" &amp; A39 &amp; "" from USDA. Return only the number."")"),"12.82")</f>
        <v>12.82</v>
      </c>
      <c r="F39" s="8" t="str">
        <f>IFERROR(__xludf.DUMMYFUNCTION("AI(""Write 2 to 5 lines about the benefits and harms of "" &amp; A39 &amp; "". Keep it concise and objective."")"),"Fried Eggplant provides some fiber, vitamins, and antioxidants like anthocyanins from the vegetable itself. However, the frying process causes eggplant to absorb a large amount of oil, resulting in a dish high in fat and calories. This preparation method "&amp;"is generally considered less healthy than grilling or baking.")</f>
        <v>Fried Eggplant provides some fiber, vitamins, and antioxidants like anthocyanins from the vegetable itself. However, the frying process causes eggplant to absorb a large amount of oil, resulting in a dish high in fat and calories. This preparation method is generally considered less healthy than grilling or baking.</v>
      </c>
    </row>
    <row r="40" ht="22.5" customHeight="1">
      <c r="A40" s="12" t="s">
        <v>47</v>
      </c>
      <c r="B40" s="5" t="str">
        <f>IFERROR(__xludf.DUMMYFUNCTION("AI(""Get the calories per 100g for "" &amp; A40 &amp; "" from USDA database. Return only the numeric value (integer)."")"),"196")</f>
        <v>196</v>
      </c>
      <c r="C40" s="6" t="str">
        <f>IFERROR(__xludf.DUMMYFUNCTION("AI(""Get protein content in grams per 100g for "" &amp; A40 &amp; "" from USDA. Return only the number."")"),"14.2")</f>
        <v>14.2</v>
      </c>
      <c r="D40" s="6" t="str">
        <f>IFERROR(__xludf.DUMMYFUNCTION("AI(""Get carbohydrate content in grams per 100g for "" &amp; A40 &amp; "" from USDA. Return only the number. "")"),"0")</f>
        <v>0</v>
      </c>
      <c r="E40" s="6" t="str">
        <f>IFERROR(__xludf.DUMMYFUNCTION("AI(""Get total fat content in grams per 100g for "" &amp; A40 &amp; "" from USDA. Return only the number."")"),"15")</f>
        <v>15</v>
      </c>
      <c r="F40" s="8" t="str">
        <f>IFERROR(__xludf.DUMMYFUNCTION("AI(""Write 2 to 5 lines about the benefits and harms of "" &amp; A40 &amp; "". Keep it concise and objective."")"),"Fried eggs are a great source of complete protein, choline, and essential vitamins like D, supporting muscle health and satiety. They also contain antioxidants beneficial for eye health. However, the frying process adds saturated fats and calories, which,"&amp;" when consumed excessively or with unhealthy sides, can increase blood cholesterol and overall caloric intake.")</f>
        <v>Fried eggs are a great source of complete protein, choline, and essential vitamins like D, supporting muscle health and satiety. They also contain antioxidants beneficial for eye health. However, the frying process adds saturated fats and calories, which, when consumed excessively or with unhealthy sides, can increase blood cholesterol and overall caloric intake.</v>
      </c>
    </row>
    <row r="41" ht="22.5" customHeight="1">
      <c r="A41" s="12" t="s">
        <v>48</v>
      </c>
      <c r="B41" s="5" t="str">
        <f>IFERROR(__xludf.DUMMYFUNCTION("AI(""Get the calories per 100g for "" &amp; A41 &amp; "" from USDA database. Return only the numeric value (integer)."")"),"312")</f>
        <v>312</v>
      </c>
      <c r="C41" s="6" t="str">
        <f>IFERROR(__xludf.DUMMYFUNCTION("AI(""Get protein content in grams per 100g for "" &amp; A41 &amp; "" from USDA. Return only the number."")"),"3.8")</f>
        <v>3.8</v>
      </c>
      <c r="D41" s="6" t="str">
        <f>IFERROR(__xludf.DUMMYFUNCTION("AI(""Get carbohydrate content in grams per 100g for "" &amp; A41 &amp; "" from USDA. Return only the number. "")"),"41")</f>
        <v>41</v>
      </c>
      <c r="E41" s="6" t="str">
        <f>IFERROR(__xludf.DUMMYFUNCTION("AI(""Get total fat content in grams per 100g for "" &amp; A41 &amp; "" from USDA. Return only the number."")"),"15.5")</f>
        <v>15.5</v>
      </c>
      <c r="F41" s="8" t="str">
        <f>IFERROR(__xludf.DUMMYFUNCTION("AI(""Write 2 to 5 lines about the benefits and harms of "" &amp; A41 &amp; "". Keep it concise and objective."")"),"Fries are typically high in calories, fat, and sodium from deep-frying, which increases the risk of weight gain, heart disease, and high blood pressure. Frying can also lead to the formation of acrylamide. However, the potatoes themselves contain benefici"&amp;"al micronutrients like Potassium and Vitamin C, and choosing baked or air-fried versions significantly reduces the negative health impacts.")</f>
        <v>Fries are typically high in calories, fat, and sodium from deep-frying, which increases the risk of weight gain, heart disease, and high blood pressure. Frying can also lead to the formation of acrylamide. However, the potatoes themselves contain beneficial micronutrients like Potassium and Vitamin C, and choosing baked or air-fried versions significantly reduces the negative health impacts.</v>
      </c>
    </row>
    <row r="42" ht="22.5" customHeight="1">
      <c r="A42" s="12" t="s">
        <v>49</v>
      </c>
      <c r="B42" s="5" t="str">
        <f>IFERROR(__xludf.DUMMYFUNCTION("AI(""Get the calories per 100g for "" &amp; A42 &amp; "" from USDA database. Return only the numeric value (integer)."")"),"149")</f>
        <v>149</v>
      </c>
      <c r="C42" s="6" t="str">
        <f>IFERROR(__xludf.DUMMYFUNCTION("AI(""Get protein content in grams per 100g for "" &amp; A42 &amp; "" from USDA. Return only the number."")"),"6.4")</f>
        <v>6.4</v>
      </c>
      <c r="D42" s="6" t="str">
        <f>IFERROR(__xludf.DUMMYFUNCTION("AI(""Get carbohydrate content in grams per 100g for "" &amp; A42 &amp; "" from USDA. Return only the number. "")"),"33.06")</f>
        <v>33.06</v>
      </c>
      <c r="E42" s="6" t="str">
        <f>IFERROR(__xludf.DUMMYFUNCTION("AI(""Get total fat content in grams per 100g for "" &amp; A42 &amp; "" from USDA. Return only the number."")"),"2.8")</f>
        <v>2.8</v>
      </c>
      <c r="F42" s="8" t="str">
        <f>IFERROR(__xludf.DUMMYFUNCTION("AI(""Write 2 to 5 lines about the benefits and harms of "" &amp; A42 &amp; "". Keep it concise and objective."")"),"Garlic contains allicin, offering antioxidant and anti-inflammatory properties that support cardiovascular health by potentially lowering blood pressure and cholesterol. It is also linked to a reduced risk of certain cancers. However, large amounts can ca"&amp;"use side effects like bad breath, digestive issues, and heartburn, and may increase the risk of bleeding, especially when taken with blood thinners.")</f>
        <v>Garlic contains allicin, offering antioxidant and anti-inflammatory properties that support cardiovascular health by potentially lowering blood pressure and cholesterol. It is also linked to a reduced risk of certain cancers. However, large amounts can cause side effects like bad breath, digestive issues, and heartburn, and may increase the risk of bleeding, especially when taken with blood thinners.</v>
      </c>
    </row>
    <row r="43" ht="22.5" customHeight="1">
      <c r="A43" s="12" t="s">
        <v>50</v>
      </c>
      <c r="B43" s="5" t="str">
        <f>IFERROR(__xludf.DUMMYFUNCTION("AI(""Get the calories per 100g for "" &amp; A43 &amp; "" from USDA database. Return only the numeric value (integer)."")"),"69")</f>
        <v>69</v>
      </c>
      <c r="C43" s="6" t="str">
        <f>IFERROR(__xludf.DUMMYFUNCTION("AI(""Get protein content in grams per 100g for "" &amp; A43 &amp; "" from USDA. Return only the number."")"),"0.54")</f>
        <v>0.54</v>
      </c>
      <c r="D43" s="6" t="str">
        <f>IFERROR(__xludf.DUMMYFUNCTION("AI(""Get carbohydrate content in grams per 100g for "" &amp; A43 &amp; "" from USDA. Return only the number. "")"),"13.67")</f>
        <v>13.67</v>
      </c>
      <c r="E43" s="6" t="str">
        <f>IFERROR(__xludf.DUMMYFUNCTION("AI(""Get total fat content in grams per 100g for "" &amp; A43 &amp; "" from USDA. Return only the number."")"),"0.16")</f>
        <v>0.16</v>
      </c>
      <c r="F43" s="8" t="str">
        <f>IFERROR(__xludf.DUMMYFUNCTION("AI(""Write 2 to 5 lines about the benefits and harms of "" &amp; A43 &amp; "". Keep it concise and objective."")"),"Grapes are rich in antioxidants like resveratrol and polyphenols, which may support heart and brain health, protect against cell damage, and reduce inflammation. They are a good source of fiber, water, potassium, and vitamins C and K. Consuming large amou"&amp;"nts may cause diarrhea, and grape extract can potentially interact with blood-thinning medications. Whole grapes are also a choking hazard for children aged 5 and under.")</f>
        <v>Grapes are rich in antioxidants like resveratrol and polyphenols, which may support heart and brain health, protect against cell damage, and reduce inflammation. They are a good source of fiber, water, potassium, and vitamins C and K. Consuming large amounts may cause diarrhea, and grape extract can potentially interact with blood-thinning medications. Whole grapes are also a choking hazard for children aged 5 and under.</v>
      </c>
    </row>
    <row r="44" ht="22.5" customHeight="1">
      <c r="A44" s="12" t="s">
        <v>51</v>
      </c>
      <c r="B44" s="5" t="str">
        <f>IFERROR(__xludf.DUMMYFUNCTION("AI(""Get the calories per 100g for "" &amp; A44 &amp; "" from USDA database. Return only the numeric value (integer)."")"),"35")</f>
        <v>35</v>
      </c>
      <c r="C44" s="6" t="str">
        <f>IFERROR(__xludf.DUMMYFUNCTION("AI(""Get protein content in grams per 100g for "" &amp; A44 &amp; "" from USDA. Return only the number."")"),"1.1")</f>
        <v>1.1</v>
      </c>
      <c r="D44" s="6" t="str">
        <f>IFERROR(__xludf.DUMMYFUNCTION("AI(""Get carbohydrate content in grams per 100g for "" &amp; A44 &amp; "" from USDA. Return only the number. "")"),"6.3")</f>
        <v>6.3</v>
      </c>
      <c r="E44" s="6" t="str">
        <f>IFERROR(__xludf.DUMMYFUNCTION("AI(""Get total fat content in grams per 100g for "" &amp; A44 &amp; "" from USDA. Return only the number."")"),"0.2")</f>
        <v>0.2</v>
      </c>
      <c r="F44" s="8" t="str">
        <f>IFERROR(__xludf.DUMMYFUNCTION("AI(""Write 2 to 5 lines about the benefits and harms of "" &amp; A44 &amp; "". Keep it concise and objective."")"),"Grilled eggplant is a low-calorie, low-fat source of fiber, potassium, and antioxidants like nasunin, which support heart health, digestion, and may regulate blood sugar. As a nightshade vegetable, it contains solanine and oxalates that can potentially tr"&amp;"igger inflammatory symptoms or worsen conditions like arthritis and kidney stones in sensitive individuals. The grilling preparation method is generally healthier than frying as it avoids excess oil and fat.")</f>
        <v>Grilled eggplant is a low-calorie, low-fat source of fiber, potassium, and antioxidants like nasunin, which support heart health, digestion, and may regulate blood sugar. As a nightshade vegetable, it contains solanine and oxalates that can potentially trigger inflammatory symptoms or worsen conditions like arthritis and kidney stones in sensitive individuals. The grilling preparation method is generally healthier than frying as it avoids excess oil and fat.</v>
      </c>
    </row>
    <row r="45" ht="22.5" customHeight="1">
      <c r="A45" s="12" t="s">
        <v>52</v>
      </c>
      <c r="B45" s="5" t="str">
        <f>IFERROR(__xludf.DUMMYFUNCTION("AI(""Get the calories per 100g for "" &amp; A45 &amp; "" from USDA database. Return only the numeric value (integer)."")"),"206")</f>
        <v>206</v>
      </c>
      <c r="C45" s="6" t="str">
        <f>IFERROR(__xludf.DUMMYFUNCTION("AI(""Get protein content in grams per 100g for "" &amp; A45 &amp; "" from USDA. Return only the number."")"),"24.6")</f>
        <v>24.6</v>
      </c>
      <c r="D45" s="6" t="str">
        <f>IFERROR(__xludf.DUMMYFUNCTION("AI(""Get carbohydrate content in grams per 100g for "" &amp; A45 &amp; "" from USDA. Return only the number. "")"),"0.0")</f>
        <v>0.0</v>
      </c>
      <c r="E45" s="6" t="str">
        <f>IFERROR(__xludf.DUMMYFUNCTION("AI(""Get total fat content in grams per 100g for "" &amp; A45 &amp; "" from USDA. Return only the number."")"),"8.4")</f>
        <v>8.4</v>
      </c>
      <c r="F45" s="8" t="str">
        <f>IFERROR(__xludf.DUMMYFUNCTION("AI(""Write 2 to 5 lines about the benefits and harms of "" &amp; A45 &amp; "". Keep it concise and objective."")"),"Grilled salmon is rich in essential nutrients like high-quality protein, omega-3 fatty acids (EPA/DHA), and vitamins B12 and D, supporting heart, brain, and bone health. Grilling is a low-fat cooking method, aiding in weight management. A potential drawba"&amp;"ck is the formation of AGEs from high-heat grilling, which may contribute to inflammation if consumed excessively. Additionally, farmed salmon can contain higher levels of pollutants or contaminants than wild-caught. For most people, consuming grilled sal"&amp;"mon 1-2 times per week is safe and beneficial.")</f>
        <v>Grilled salmon is rich in essential nutrients like high-quality protein, omega-3 fatty acids (EPA/DHA), and vitamins B12 and D, supporting heart, brain, and bone health. Grilling is a low-fat cooking method, aiding in weight management. A potential drawback is the formation of AGEs from high-heat grilling, which may contribute to inflammation if consumed excessively. Additionally, farmed salmon can contain higher levels of pollutants or contaminants than wild-caught. For most people, consuming grilled salmon 1-2 times per week is safe and beneficial.</v>
      </c>
    </row>
    <row r="46" ht="22.5" customHeight="1">
      <c r="A46" s="12" t="s">
        <v>53</v>
      </c>
      <c r="B46" s="5" t="str">
        <f>IFERROR(__xludf.DUMMYFUNCTION("AI(""Get the calories per 100g for "" &amp; A46 &amp; "" from USDA database. Return only the numeric value (integer)."")"),"290")</f>
        <v>290</v>
      </c>
      <c r="C46" s="6" t="str">
        <f>IFERROR(__xludf.DUMMYFUNCTION("AI(""Get protein content in grams per 100g for "" &amp; A46 &amp; "" from USDA. Return only the number."")"),"10")</f>
        <v>10</v>
      </c>
      <c r="D46" s="6" t="str">
        <f>IFERROR(__xludf.DUMMYFUNCTION("AI(""Get carbohydrate content in grams per 100g for "" &amp; A46 &amp; "" from USDA. Return only the number. "")"),"4.2")</f>
        <v>4.2</v>
      </c>
      <c r="E46" s="6" t="str">
        <f>IFERROR(__xludf.DUMMYFUNCTION("AI(""Get total fat content in grams per 100g for "" &amp; A46 &amp; "" from USDA. Return only the number."")"),"26")</f>
        <v>26</v>
      </c>
      <c r="F46" s="8" t="str">
        <f>IFERROR(__xludf.DUMMYFUNCTION("AI(""Write 2 to 5 lines about the benefits and harms of "" &amp; A46 &amp; "". Keep it concise and objective."")"),"Hot dogs are a highly processed meat linked to increased risks of diseases like colorectal cancer, type 2 diabetes, and heart disease, largely due to high sodium, saturated fat, and nitrate/nitrite content. They provide a moderate source of protein and so"&amp;"me micronutrients like Vitamin B12. Health experts recommend eating them rarely or in strict moderation, especially avoiding daily consumption.")</f>
        <v>Hot dogs are a highly processed meat linked to increased risks of diseases like colorectal cancer, type 2 diabetes, and heart disease, largely due to high sodium, saturated fat, and nitrate/nitrite content. They provide a moderate source of protein and some micronutrients like Vitamin B12. Health experts recommend eating them rarely or in strict moderation, especially avoiding daily consumption.</v>
      </c>
    </row>
    <row r="47" ht="22.5" customHeight="1">
      <c r="A47" s="12" t="s">
        <v>54</v>
      </c>
      <c r="B47" s="5" t="str">
        <f>IFERROR(__xludf.DUMMYFUNCTION("AI(""Get the calories per 100g for "" &amp; A47 &amp; "" from USDA database. Return only the numeric value (integer)."")"),"49")</f>
        <v>49</v>
      </c>
      <c r="C47" s="6" t="str">
        <f>IFERROR(__xludf.DUMMYFUNCTION("AI(""Get protein content in grams per 100g for "" &amp; A47 &amp; "" from USDA. Return only the number."")"),"0")</f>
        <v>0</v>
      </c>
      <c r="D47" s="6" t="str">
        <f>IFERROR(__xludf.DUMMYFUNCTION("AI(""Get carbohydrate content in grams per 100g for "" &amp; A47 &amp; "" from USDA. Return only the number. "")"),"15")</f>
        <v>15</v>
      </c>
      <c r="E47" s="6" t="str">
        <f>IFERROR(__xludf.DUMMYFUNCTION("AI(""Get total fat content in grams per 100g for "" &amp; A47 &amp; "" from USDA. Return only the number."")"),"0")</f>
        <v>0</v>
      </c>
      <c r="F47" s="7" t="str">
        <f>IFERROR(__xludf.DUMMYFUNCTION("AI(""Write 2 to 5 lines about the benefits and harms of "" &amp; A47 &amp; "". Keep it concise and objective."")"),"One hundred percent juice is a source of essential vitamins, minerals, and bioactive compounds, helping to fill nutrient gaps, especially for those who struggle to eat whole produce. The main drawback is the removal of dietary fiber during juicing, which "&amp;"results in a concentrated source of natural sugar that can cause blood sugar spikes. Due to its concentrated calories and sugar, consuming it in excess without moderation may contribute to weight gain and has been weakly associated with adverse health ris"&amp;"ks like type 2 diabetes.")</f>
        <v>One hundred percent juice is a source of essential vitamins, minerals, and bioactive compounds, helping to fill nutrient gaps, especially for those who struggle to eat whole produce. The main drawback is the removal of dietary fiber during juicing, which results in a concentrated source of natural sugar that can cause blood sugar spikes. Due to its concentrated calories and sugar, consuming it in excess without moderation may contribute to weight gain and has been weakly associated with adverse health risks like type 2 diabetes.</v>
      </c>
    </row>
    <row r="48" ht="22.5" customHeight="1">
      <c r="A48" s="12" t="s">
        <v>55</v>
      </c>
      <c r="B48" s="5" t="str">
        <f>IFERROR(__xludf.DUMMYFUNCTION("AI(""Get the calories per 100g for "" &amp; A48 &amp; "" from USDA database. Return only the numeric value (integer)."")"),"167")</f>
        <v>167</v>
      </c>
      <c r="C48" s="6" t="str">
        <f>IFERROR(__xludf.DUMMYFUNCTION("AI(""Get protein content in grams per 100g for "" &amp; A48 &amp; "" from USDA. Return only the number."")"),"13.33")</f>
        <v>13.33</v>
      </c>
      <c r="D48" s="6" t="str">
        <f>IFERROR(__xludf.DUMMYFUNCTION("AI(""Get carbohydrate content in grams per 100g for "" &amp; A48 &amp; "" from USDA. Return only the number. "")"),"6.67")</f>
        <v>6.67</v>
      </c>
      <c r="E48" s="6" t="str">
        <f>IFERROR(__xludf.DUMMYFUNCTION("AI(""Get total fat content in grams per 100g for "" &amp; A48 &amp; "" from USDA. Return only the number."")"),"10")</f>
        <v>10</v>
      </c>
      <c r="F48" s="8" t="str">
        <f>IFERROR(__xludf.DUMMYFUNCTION("AI(""Write 2 to 5 lines about the benefits and harms of "" &amp; A48 &amp; "". Keep it concise and objective."")"),"Kofta is rich in protein, essential for muscle health and satiety, and provides key nutrients like iron and zinc. Health concerns mainly stem from preparations high in saturated fat, calories, and sodium, such as frying or using rich sauces like in Malai "&amp;"Kofta. Choosing lean meat, baking or grilling, and controlling portions makes it a healthier meal option.")</f>
        <v>Kofta is rich in protein, essential for muscle health and satiety, and provides key nutrients like iron and zinc. Health concerns mainly stem from preparations high in saturated fat, calories, and sodium, such as frying or using rich sauces like in Malai Kofta. Choosing lean meat, baking or grilling, and controlling portions makes it a healthier meal option.</v>
      </c>
    </row>
    <row r="49" ht="22.5" customHeight="1">
      <c r="A49" s="12" t="s">
        <v>56</v>
      </c>
      <c r="B49" s="5" t="str">
        <f>IFERROR(__xludf.DUMMYFUNCTION("AI(""Get the calories per 100g for "" &amp; A49 &amp; "" from USDA database. Return only the numeric value (integer)."")"),"29")</f>
        <v>29</v>
      </c>
      <c r="C49" s="6" t="str">
        <f>IFERROR(__xludf.DUMMYFUNCTION("AI(""Get protein content in grams per 100g for "" &amp; A49 &amp; "" from USDA. Return only the number."")"),"1.1")</f>
        <v>1.1</v>
      </c>
      <c r="D49" s="6" t="str">
        <f>IFERROR(__xludf.DUMMYFUNCTION("AI(""Get carbohydrate content in grams per 100g for "" &amp; A49 &amp; "" from USDA. Return only the number. "")"),"9.3")</f>
        <v>9.3</v>
      </c>
      <c r="E49" s="6" t="str">
        <f>IFERROR(__xludf.DUMMYFUNCTION("AI(""Get total fat content in grams per 100g for "" &amp; A49 &amp; "" from USDA. Return only the number."")"),"0.3")</f>
        <v>0.3</v>
      </c>
      <c r="F49" s="8" t="str">
        <f>IFERROR(__xludf.DUMMYFUNCTION("AI(""Write 2 to 5 lines about the benefits and harms of "" &amp; A49 &amp; "". Keep it concise and objective."")"),"Lemon is rich in Vitamin C and antioxidants, which support immune function, collagen synthesis, and heart health.
Its citric acid content may help prevent kidney stones and aid iron absorption.
However, its high acidity can erode tooth enamel over time an"&amp;"d may trigger acid reflux or heartburn in sensitive individuals.
Excessive intake may also act as a diuretic, potentially leading to dehydration if not balanced with sufficient water.")</f>
        <v>Lemon is rich in Vitamin C and antioxidants, which support immune function, collagen synthesis, and heart health.
Its citric acid content may help prevent kidney stones and aid iron absorption.
However, its high acidity can erode tooth enamel over time and may trigger acid reflux or heartburn in sensitive individuals.
Excessive intake may also act as a diuretic, potentially leading to dehydration if not balanced with sufficient water.</v>
      </c>
    </row>
    <row r="50" ht="22.5" customHeight="1">
      <c r="A50" s="12" t="s">
        <v>57</v>
      </c>
      <c r="B50" s="5" t="str">
        <f>IFERROR(__xludf.DUMMYFUNCTION("AI(""Get the calories per 100g for "" &amp; A50 &amp; "" from USDA database. Return only the numeric value (integer)."")"),"15")</f>
        <v>15</v>
      </c>
      <c r="C50" s="6" t="str">
        <f>IFERROR(__xludf.DUMMYFUNCTION("AI(""Get protein content in grams per 100g for "" &amp; A50 &amp; "" from USDA. Return only the number."")"),"1.2")</f>
        <v>1.2</v>
      </c>
      <c r="D50" s="6" t="str">
        <f>IFERROR(__xludf.DUMMYFUNCTION("AI(""Get carbohydrate content in grams per 100g for "" &amp; A50 &amp; "" from USDA. Return only the number. "")"),"3.29")</f>
        <v>3.29</v>
      </c>
      <c r="E50" s="6" t="str">
        <f>IFERROR(__xludf.DUMMYFUNCTION("AI(""Get total fat content in grams per 100g for "" &amp; A50 &amp; "" from USDA. Return only the number."")"),"0.3")</f>
        <v>0.3</v>
      </c>
      <c r="F50" s="8" t="str">
        <f>IFERROR(__xludf.DUMMYFUNCTION("AI(""Write 2 to 5 lines about the benefits and harms of "" &amp; A50 &amp; "". Keep it concise and objective."")"),"Lettuce is low in calories, high in water content, and rich in vitamins A, C, K, and folate, which provide antioxidants that support eye, bone, and cardiovascular health. It also contains fiber, which aids in digestion, and extracts may help with sleep. T"&amp;"he primary risk is potential contamination with bacteria like *E. coli* or the absorption of heavy metals from the soil if not sourced or washed properly.")</f>
        <v>Lettuce is low in calories, high in water content, and rich in vitamins A, C, K, and folate, which provide antioxidants that support eye, bone, and cardiovascular health. It also contains fiber, which aids in digestion, and extracts may help with sleep. The primary risk is potential contamination with bacteria like *E. coli* or the absorption of heavy metals from the soil if not sourced or washed properly.</v>
      </c>
    </row>
    <row r="51" ht="22.5" customHeight="1">
      <c r="A51" s="12" t="s">
        <v>58</v>
      </c>
      <c r="B51" s="5" t="str">
        <f>IFERROR(__xludf.DUMMYFUNCTION("AI(""Get the calories per 100g for "" &amp; A51 &amp; "" from USDA database. Return only the numeric value (integer)."")"),"460")</f>
        <v>460</v>
      </c>
      <c r="C51" s="10">
        <v>8.3</v>
      </c>
      <c r="D51" s="6" t="str">
        <f>IFERROR(__xludf.DUMMYFUNCTION("AI(""Get carbohydrate content in grams per 100g for "" &amp; A51 &amp; "" from USDA. Return only the number. "")"),"55")</f>
        <v>55</v>
      </c>
      <c r="E51" s="6" t="str">
        <f>IFERROR(__xludf.DUMMYFUNCTION("AI(""Get total fat content in grams per 100g for "" &amp; A51 &amp; "" from USDA. Return only the number."")"),"15")</f>
        <v>15</v>
      </c>
      <c r="F51" s="8" t="str">
        <f>IFERROR(__xludf.DUMMYFUNCTION("AI(""Write 2 to 5 lines about the benefits and harms of "" &amp; A51 &amp; "". Keep it concise and objective."")"),"Macarons, made with almond flour and egg whites, are naturally gluten-free and provide some protein and healthy fats. However, they are high-calorie desserts that contain significant amounts of sugar and saturated fat. They should be eaten in strict moder"&amp;"ation, as overconsumption can contribute to weight gain. They are generally not advised for people with diabetes or high cholesterol issues.")</f>
        <v>Macarons, made with almond flour and egg whites, are naturally gluten-free and provide some protein and healthy fats. However, they are high-calorie desserts that contain significant amounts of sugar and saturated fat. They should be eaten in strict moderation, as overconsumption can contribute to weight gain. They are generally not advised for people with diabetes or high cholesterol issues.</v>
      </c>
    </row>
    <row r="52" ht="22.5" customHeight="1">
      <c r="A52" s="12" t="s">
        <v>59</v>
      </c>
      <c r="B52" s="5" t="str">
        <f>IFERROR(__xludf.DUMMYFUNCTION("AI(""Get the calories per 100g for "" &amp; A52 &amp; "" from USDA database. Return only the numeric value (integer)."")"),"60")</f>
        <v>60</v>
      </c>
      <c r="C52" s="6" t="str">
        <f>IFERROR(__xludf.DUMMYFUNCTION("AI(""Get protein content in grams per 100g for "" &amp; A52 &amp; "" from USDA. Return only the number."")"),"0.82")</f>
        <v>0.82</v>
      </c>
      <c r="D52" s="6" t="str">
        <f>IFERROR(__xludf.DUMMYFUNCTION("AI(""Get carbohydrate content in grams per 100g for "" &amp; A52 &amp; "" from USDA. Return only the number. "")"),"17")</f>
        <v>17</v>
      </c>
      <c r="E52" s="6" t="str">
        <f>IFERROR(__xludf.DUMMYFUNCTION("AI(""Get total fat content in grams per 100g for "" &amp; A52 &amp; "" from USDA. Return only the number."")"),"0.27")</f>
        <v>0.27</v>
      </c>
      <c r="F52" s="8" t="str">
        <f>IFERROR(__xludf.DUMMYFUNCTION("AI(""Write 2 to 5 lines about the benefits and harms of "" &amp; A52 &amp; "". Keep it concise and objective."")"),"Mango is rich in vitamins A and C, folate, and antioxidants that support immune function, vision, and heart health. Its fiber and enzyme content aid in digestion and can help with constipation. However, it is high in natural sugars, so moderation is key t"&amp;"o prevent blood sugar spikes. In rare cases, the skin contains urushiol, which may cause an allergic reaction in people sensitive to poison ivy or latex.")</f>
        <v>Mango is rich in vitamins A and C, folate, and antioxidants that support immune function, vision, and heart health. Its fiber and enzyme content aid in digestion and can help with constipation. However, it is high in natural sugars, so moderation is key to prevent blood sugar spikes. In rare cases, the skin contains urushiol, which may cause an allergic reaction in people sensitive to poison ivy or latex.</v>
      </c>
    </row>
    <row r="53" ht="22.5" customHeight="1">
      <c r="A53" s="12" t="s">
        <v>60</v>
      </c>
      <c r="B53" s="5" t="str">
        <f>IFERROR(__xludf.DUMMYFUNCTION("AI(""Get the calories per 100g for "" &amp; A53 &amp; "" from USDA database. Return only the numeric value (integer)."")"),"786")</f>
        <v>786</v>
      </c>
      <c r="C53" s="6" t="str">
        <f>IFERROR(__xludf.DUMMYFUNCTION("AI(""Get protein content in grams per 100g for "" &amp; A53 &amp; "" from USDA. Return only the number."")"),"7")</f>
        <v>7</v>
      </c>
      <c r="D53" s="6" t="str">
        <f>IFERROR(__xludf.DUMMYFUNCTION("AI(""Get carbohydrate content in grams per 100g for "" &amp; A53 &amp; "" from USDA. Return only the number. "")"),"0")</f>
        <v>0</v>
      </c>
      <c r="E53" s="6" t="str">
        <f>IFERROR(__xludf.DUMMYFUNCTION("AI(""Get total fat content in grams per 100g for "" &amp; A53 &amp; "" from USDA. Return only the number."")"),"84.4")</f>
        <v>84.4</v>
      </c>
      <c r="F53" s="8" t="str">
        <f>IFERROR(__xludf.DUMMYFUNCTION("AI(""Write 2 to 5 lines about the benefits and harms of "" &amp; A53 &amp; "". Keep it concise and objective."")"),"Bone marrow is rich in healthy fats, collagen, iron, and vitamin B12, supporting joint health, skin elasticity, and blood cell production. It is very high in calories and fat, so consumption should be limited. It also contains purines, which may elevate u"&amp;"ric acid levels and potentially exacerbate conditions like gout.")</f>
        <v>Bone marrow is rich in healthy fats, collagen, iron, and vitamin B12, supporting joint health, skin elasticity, and blood cell production. It is very high in calories and fat, so consumption should be limited. It also contains purines, which may elevate uric acid levels and potentially exacerbate conditions like gout.</v>
      </c>
    </row>
    <row r="54" ht="22.5" customHeight="1">
      <c r="A54" s="12" t="s">
        <v>61</v>
      </c>
      <c r="B54" s="5" t="str">
        <f>IFERROR(__xludf.DUMMYFUNCTION("AI(""Get the calories per 100g for "" &amp; A54 &amp; "" from USDA database. Return only the numeric value (integer)."")"),"37")</f>
        <v>37</v>
      </c>
      <c r="C54" s="6" t="str">
        <f>IFERROR(__xludf.DUMMYFUNCTION("AI(""Get protein content in grams per 100g for "" &amp; A54 &amp; "" from USDA. Return only the number."")"),"3.1")</f>
        <v>3.1</v>
      </c>
      <c r="D54" s="6" t="str">
        <f>IFERROR(__xludf.DUMMYFUNCTION("AI(""Get carbohydrate content in grams per 100g for "" &amp; A54 &amp; "" from USDA. Return only the number. "")"),"7.2")</f>
        <v>7.2</v>
      </c>
      <c r="E54" s="6" t="str">
        <f>IFERROR(__xludf.DUMMYFUNCTION("AI(""Get total fat content in grams per 100g for "" &amp; A54 &amp; "" from USDA. Return only the number."")"),"0.2")</f>
        <v>0.2</v>
      </c>
      <c r="F54" s="8" t="str">
        <f>IFERROR(__xludf.DUMMYFUNCTION("AI(""Write 2 to 5 lines about the benefits and harms of "" &amp; A54 &amp; "". Keep it concise and objective."")"),"Molokhya is a nutrient-dense leafy green, rich in vitamins (A, C, E) and minerals (iron, calcium), which supports immunity, bone, and heart health. Its high fiber content aids digestion, but it develops a unique, sometimes disliked, slimy texture when coo"&amp;"ked. No major adverse reactions are common, but data on its use during pregnancy or lactation is limited.")</f>
        <v>Molokhya is a nutrient-dense leafy green, rich in vitamins (A, C, E) and minerals (iron, calcium), which supports immunity, bone, and heart health. Its high fiber content aids digestion, but it develops a unique, sometimes disliked, slimy texture when cooked. No major adverse reactions are common, but data on its use during pregnancy or lactation is limited.</v>
      </c>
    </row>
    <row r="55" ht="22.5" customHeight="1">
      <c r="A55" s="12" t="s">
        <v>62</v>
      </c>
      <c r="B55" s="5" t="str">
        <f>IFERROR(__xludf.DUMMYFUNCTION("AI(""Get the calories per 100g for "" &amp; A55 &amp; "" from USDA database. Return only the numeric value (integer)."")"),"375")</f>
        <v>375</v>
      </c>
      <c r="C55" s="6" t="str">
        <f>IFERROR(__xludf.DUMMYFUNCTION("AI(""Get protein content in grams per 100g for "" &amp; A55 &amp; "" from USDA. Return only the number."")"),"6.0")</f>
        <v>6.0</v>
      </c>
      <c r="D55" s="6" t="str">
        <f>IFERROR(__xludf.DUMMYFUNCTION("AI(""Get carbohydrate content in grams per 100g for "" &amp; A55 &amp; "" from USDA. Return only the number. "")"),"53")</f>
        <v>53</v>
      </c>
      <c r="E55" s="10">
        <v>16.0</v>
      </c>
      <c r="F55" s="8" t="str">
        <f>IFERROR(__xludf.DUMMYFUNCTION("AI(""Write 2 to 5 lines about the benefits and harms of "" &amp; A55 &amp; "". Keep it concise and objective."")"),"Most commercial muffins are high in refined flour, sugar, and calories, contributing to blood sugar spikes and weight gain. They are often low in protein and fiber, offering little satiety. However, healthier versions made with whole grains, fruit, and he"&amp;"althy fats can provide dietary fiber, B vitamins, and a more nutritious energy source.")</f>
        <v>Most commercial muffins are high in refined flour, sugar, and calories, contributing to blood sugar spikes and weight gain. They are often low in protein and fiber, offering little satiety. However, healthier versions made with whole grains, fruit, and healthy fats can provide dietary fiber, B vitamins, and a more nutritious energy source.</v>
      </c>
    </row>
    <row r="56" ht="22.5" customHeight="1">
      <c r="A56" s="12" t="s">
        <v>63</v>
      </c>
      <c r="B56" s="5" t="str">
        <f>IFERROR(__xludf.DUMMYFUNCTION("AI(""Get the calories per 100g for "" &amp; A56 &amp; "" from USDA database. Return only the numeric value (integer)."")"),"22")</f>
        <v>22</v>
      </c>
      <c r="C56" s="6" t="str">
        <f>IFERROR(__xludf.DUMMYFUNCTION("AI(""Get protein content in grams per 100g for "" &amp; A56 &amp; "" from USDA. Return only the number."")"),"2.9")</f>
        <v>2.9</v>
      </c>
      <c r="D56" s="6" t="str">
        <f>IFERROR(__xludf.DUMMYFUNCTION("AI(""Get carbohydrate content in grams per 100g for "" &amp; A56 &amp; "" from USDA. Return only the number. "")"),"3.3")</f>
        <v>3.3</v>
      </c>
      <c r="E56" s="6" t="str">
        <f>IFERROR(__xludf.DUMMYFUNCTION("AI(""Get total fat content in grams per 100g for "" &amp; A56 &amp; "" from USDA. Return only the number."")"),"0.8")</f>
        <v>0.8</v>
      </c>
      <c r="F56" s="8" t="str">
        <f>IFERROR(__xludf.DUMMYFUNCTION("AI(""Write 2 to 5 lines about the benefits and harms of "" &amp; A56 &amp; "". Keep it concise and objective."")"),"Mushrooms are highly nutritious, providing protein, fiber, B vitamins, and powerful antioxidants like ergothioneine. They are associated with benefits for heart health, immunity, and brain function. The main risk is that many wild species are highly toxic"&amp;" and can cause severe illness or death if misidentified. Consume only mushrooms from reliable, trusted sources.")</f>
        <v>Mushrooms are highly nutritious, providing protein, fiber, B vitamins, and powerful antioxidants like ergothioneine. They are associated with benefits for heart health, immunity, and brain function. The main risk is that many wild species are highly toxic and can cause severe illness or death if misidentified. Consume only mushrooms from reliable, trusted sources.</v>
      </c>
    </row>
    <row r="57" ht="22.5" customHeight="1">
      <c r="A57" s="12" t="s">
        <v>64</v>
      </c>
      <c r="B57" s="5" t="str">
        <f>IFERROR(__xludf.DUMMYFUNCTION("AI(""Get the calories per 100g for "" &amp; A57 &amp; "" from USDA database. Return only the numeric value (integer)."")"),"138")</f>
        <v>138</v>
      </c>
      <c r="C57" s="6" t="str">
        <f>IFERROR(__xludf.DUMMYFUNCTION("AI(""Get protein content in grams per 100g for "" &amp; A57 &amp; "" from USDA. Return only the number."")"),"4.5")</f>
        <v>4.5</v>
      </c>
      <c r="D57" s="6" t="str">
        <f>IFERROR(__xludf.DUMMYFUNCTION("AI(""Get carbohydrate content in grams per 100g for "" &amp; A57 &amp; "" from USDA. Return only the number. "")"),"25")</f>
        <v>25</v>
      </c>
      <c r="E57" s="6" t="str">
        <f>IFERROR(__xludf.DUMMYFUNCTION("AI(""Get total fat content in grams per 100g for "" &amp; A57 &amp; "" from USDA. Return only the number."")"),"2.1")</f>
        <v>2.1</v>
      </c>
      <c r="F57" s="8" t="str">
        <f>IFERROR(__xludf.DUMMYFUNCTION("AI(""Write 2 to 5 lines about the benefits and harms of "" &amp; A57 &amp; "". Keep it concise and objective."")"),"Noodles provide a soft, cost-effective source of energy due to their high carbohydrate content. However, highly processed instant noodles are notorious for being very high in sodium, fat, and refined carbohydrates, while lacking essential protein, fiber, "&amp;"and micronutrients. Regular consumption of instant noodles is associated with poor diet quality and an increased risk of conditions like metabolic syndrome. The healthfulness depends heavily on the type (whole grain, rice, vegetable) and the addition of n"&amp;"utritious ingredients like lean protein and fresh vegetables.")</f>
        <v>Noodles provide a soft, cost-effective source of energy due to their high carbohydrate content. However, highly processed instant noodles are notorious for being very high in sodium, fat, and refined carbohydrates, while lacking essential protein, fiber, and micronutrients. Regular consumption of instant noodles is associated with poor diet quality and an increased risk of conditions like metabolic syndrome. The healthfulness depends heavily on the type (whole grain, rice, vegetable) and the addition of nutritious ingredients like lean protein and fresh vegetables.</v>
      </c>
    </row>
    <row r="58" ht="22.5" customHeight="1">
      <c r="A58" s="12" t="s">
        <v>65</v>
      </c>
      <c r="B58" s="5" t="str">
        <f>IFERROR(__xludf.DUMMYFUNCTION("AI(""Get the calories per 100g for "" &amp; A58 &amp; "" from USDA database. Return only the numeric value (integer)."")"),"276")</f>
        <v>276</v>
      </c>
      <c r="C58" s="6" t="str">
        <f>IFERROR(__xludf.DUMMYFUNCTION("AI(""Get protein content in grams per 100g for "" &amp; A58 &amp; "" from USDA. Return only the number."")"),"13")</f>
        <v>13</v>
      </c>
      <c r="D58" s="6" t="str">
        <f>IFERROR(__xludf.DUMMYFUNCTION("AI(""Get carbohydrate content in grams per 100g for "" &amp; A58 &amp; "" from USDA. Return only the number. "")"),"14")</f>
        <v>14</v>
      </c>
      <c r="E58" s="10">
        <v>10.0</v>
      </c>
      <c r="F58" s="8" t="str">
        <f>IFERROR(__xludf.DUMMYFUNCTION("AI(""Write 2 to 5 lines about the benefits and harms of "" &amp; A58 &amp; "". Keep it concise and objective."")"),"Nuggets can be a source of protein, but they are typically ultra-processed and often high in salt, unhealthy fats, and added sugar. High consumption is linked to increased risks of high blood pressure, cardiovascular issues, and some cancers. Their compos"&amp;"ition can vary, with some types containing low meat content and high amounts of fat and non-muscle tissue.")</f>
        <v>Nuggets can be a source of protein, but they are typically ultra-processed and often high in salt, unhealthy fats, and added sugar. High consumption is linked to increased risks of high blood pressure, cardiovascular issues, and some cancers. Their composition can vary, with some types containing low meat content and high amounts of fat and non-muscle tissue.</v>
      </c>
    </row>
    <row r="59" ht="22.5" customHeight="1">
      <c r="A59" s="12" t="s">
        <v>66</v>
      </c>
      <c r="B59" s="5" t="str">
        <f>IFERROR(__xludf.DUMMYFUNCTION("AI(""Get the calories per 100g for "" &amp; A59 &amp; "" from USDA database. Return only the numeric value (integer)."")"),"152")</f>
        <v>152</v>
      </c>
      <c r="C59" s="6" t="str">
        <f>IFERROR(__xludf.DUMMYFUNCTION("AI(""Get protein content in grams per 100g for "" &amp; A59 &amp; "" from USDA. Return only the number."")"),"10.33")</f>
        <v>10.33</v>
      </c>
      <c r="D59" s="6" t="str">
        <f>IFERROR(__xludf.DUMMYFUNCTION("AI(""Get carbohydrate content in grams per 100g for "" &amp; A59 &amp; "" from USDA. Return only the number. "")"),"0.64")</f>
        <v>0.64</v>
      </c>
      <c r="E59" s="6" t="str">
        <f>IFERROR(__xludf.DUMMYFUNCTION("AI(""Get total fat content in grams per 100g for "" &amp; A59 &amp; "" from USDA. Return only the number."")"),"12")</f>
        <v>12</v>
      </c>
      <c r="F59" s="8" t="str">
        <f>IFERROR(__xludf.DUMMYFUNCTION("AI(""Write 2 to 5 lines about the benefits and harms of "" &amp; A59 &amp; "". Keep it concise and objective."")"),"Omelettes are an excellent source of complete protein, along with key nutrients like Vitamins D, B12, and choline, supporting muscle repair and brain function. However, the health benefits largely depend on preparation, as cooking with butter or adding hi"&amp;"gh-fat ingredients like cheese and processed meats significantly increases calories, saturated fat, and cholesterol. While moderate egg consumption is generally safe for heart health, eating large omelettes daily may increase cardiovascular risk.")</f>
        <v>Omelettes are an excellent source of complete protein, along with key nutrients like Vitamins D, B12, and choline, supporting muscle repair and brain function. However, the health benefits largely depend on preparation, as cooking with butter or adding high-fat ingredients like cheese and processed meats significantly increases calories, saturated fat, and cholesterol. While moderate egg consumption is generally safe for heart health, eating large omelettes daily may increase cardiovascular risk.</v>
      </c>
    </row>
    <row r="60" ht="22.5" customHeight="1">
      <c r="A60" s="12" t="s">
        <v>67</v>
      </c>
      <c r="B60" s="5" t="str">
        <f>IFERROR(__xludf.DUMMYFUNCTION("AI(""Get the calories per 100g for "" &amp; A60 &amp; "" from USDA database. Return only the numeric value (integer)."")"),"40")</f>
        <v>40</v>
      </c>
      <c r="C60" s="6" t="str">
        <f>IFERROR(__xludf.DUMMYFUNCTION("AI(""Get protein content in grams per 100g for "" &amp; A60 &amp; "" from USDA. Return only the number."")"),"1.1")</f>
        <v>1.1</v>
      </c>
      <c r="D60" s="6" t="str">
        <f>IFERROR(__xludf.DUMMYFUNCTION("AI(""Get carbohydrate content in grams per 100g for "" &amp; A60 &amp; "" from USDA. Return only the number. "")"),"9.3")</f>
        <v>9.3</v>
      </c>
      <c r="E60" s="6" t="str">
        <f>IFERROR(__xludf.DUMMYFUNCTION("AI(""Get total fat content in grams per 100g for "" &amp; A60 &amp; "" from USDA. Return only the number."")"),"0.1")</f>
        <v>0.1</v>
      </c>
      <c r="F60" s="8" t="str">
        <f>IFERROR(__xludf.DUMMYFUNCTION("AI(""Write 2 to 5 lines about the benefits and harms of "" &amp; A60 &amp; "". Keep it concise and objective."")"),"Onions are a nutrient-dense food rich in antioxidants, like quercetin, linked to benefits such as reduced cancer risk, lower blood sugar levels, and improved bone and heart health. However, they may cause digestive discomfort, such as gas and bloating, in"&amp;" some people, particularly due to their FODMAP content. High consumption may also interfere with blood clotting or blood sugar control during and after surgery or with certain medications.")</f>
        <v>Onions are a nutrient-dense food rich in antioxidants, like quercetin, linked to benefits such as reduced cancer risk, lower blood sugar levels, and improved bone and heart health. However, they may cause digestive discomfort, such as gas and bloating, in some people, particularly due to their FODMAP content. High consumption may also interfere with blood clotting or blood sugar control during and after surgery or with certain medications.</v>
      </c>
    </row>
    <row r="61" ht="22.5" customHeight="1">
      <c r="A61" s="12" t="s">
        <v>68</v>
      </c>
      <c r="B61" s="5" t="str">
        <f>IFERROR(__xludf.DUMMYFUNCTION("AI(""Get the calories per 100g for "" &amp; A61 &amp; "" from USDA database. Return only the numeric value (integer)."")"),"47")</f>
        <v>47</v>
      </c>
      <c r="C61" s="6" t="str">
        <f>IFERROR(__xludf.DUMMYFUNCTION("AI(""Get protein content in grams per 100g for "" &amp; A61 &amp; "" from USDA. Return only the number."")"),"0.94")</f>
        <v>0.94</v>
      </c>
      <c r="D61" s="6" t="str">
        <f>IFERROR(__xludf.DUMMYFUNCTION("AI(""Get carbohydrate content in grams per 100g for "" &amp; A61 &amp; "" from USDA. Return only the number. "")"),"12")</f>
        <v>12</v>
      </c>
      <c r="E61" s="10">
        <v>0.1</v>
      </c>
      <c r="F61" s="8" t="str">
        <f>IFERROR(__xludf.DUMMYFUNCTION("AI(""Write 2 to 5 lines about the benefits and harms of "" &amp; A61 &amp; "". Keep it concise and objective."")"),"Oranges are excellent sources of Vitamin C, fiber, and potassium, which support immune function, digestion, and heart health. However, their high acidity and fiber content can lead to digestive issues or heartburn if consumed in large amounts. Excessive i"&amp;"ntake may also cause dental enamel erosion and potential blood sugar spikes, so moderation is key.")</f>
        <v>Oranges are excellent sources of Vitamin C, fiber, and potassium, which support immune function, digestion, and heart health. However, their high acidity and fiber content can lead to digestive issues or heartburn if consumed in large amounts. Excessive intake may also cause dental enamel erosion and potential blood sugar spikes, so moderation is key.</v>
      </c>
    </row>
    <row r="62" ht="22.5" customHeight="1">
      <c r="A62" s="12" t="s">
        <v>69</v>
      </c>
      <c r="B62" s="5" t="str">
        <f>IFERROR(__xludf.DUMMYFUNCTION("AI(""Get the calories per 100g for "" &amp; A62 &amp; "" from USDA database. Return only the numeric value (integer)."")"),"227")</f>
        <v>227</v>
      </c>
      <c r="C62" s="6" t="str">
        <f>IFERROR(__xludf.DUMMYFUNCTION("AI(""Get protein content in grams per 100g for "" &amp; A62 &amp; "" from USDA. Return only the number."")"),"7.8")</f>
        <v>7.8</v>
      </c>
      <c r="D62" s="6" t="str">
        <f>IFERROR(__xludf.DUMMYFUNCTION("AI(""Get carbohydrate content in grams per 100g for "" &amp; A62 &amp; "" from USDA. Return only the number. "")"),"28")</f>
        <v>28</v>
      </c>
      <c r="E62" s="6" t="str">
        <f>IFERROR(__xludf.DUMMYFUNCTION("AI(""Get total fat content in grams per 100g for "" &amp; A62 &amp; "" from USDA. Return only the number."")"),"9.7")</f>
        <v>9.7</v>
      </c>
      <c r="F62" s="8" t="str">
        <f>IFERROR(__xludf.DUMMYFUNCTION("AI(""Write 2 to 5 lines about the benefits and harms of "" &amp; A62 &amp; "". Keep it concise and objective."")"),"Pancakes provide a source of carbohydrates for energy, along with some protein and fat from eggs and milk, and can be paired with nutrient-rich fruits. However, they are often made with refined white flour, and typically served with large amounts of high-"&amp;"sugar toppings like syrup, contributing to excessive calories and potential blood sugar spikes.")</f>
        <v>Pancakes provide a source of carbohydrates for energy, along with some protein and fat from eggs and milk, and can be paired with nutrient-rich fruits. However, they are often made with refined white flour, and typically served with large amounts of high-sugar toppings like syrup, contributing to excessive calories and potential blood sugar spikes.</v>
      </c>
    </row>
    <row r="63" ht="22.5" customHeight="1">
      <c r="A63" s="12" t="s">
        <v>70</v>
      </c>
      <c r="B63" s="5" t="str">
        <f>IFERROR(__xludf.DUMMYFUNCTION("AI(""Get the calories per 100g for "" &amp; A63 &amp; "" from USDA database. Return only the numeric value (integer)."")"),"371")</f>
        <v>371</v>
      </c>
      <c r="C63" s="6" t="str">
        <f>IFERROR(__xludf.DUMMYFUNCTION("AI(""Get protein content in grams per 100g for "" &amp; A63 &amp; "" from USDA. Return only the number."")"),"13.0")</f>
        <v>13.0</v>
      </c>
      <c r="D63" s="6" t="str">
        <f>IFERROR(__xludf.DUMMYFUNCTION("AI(""Get carbohydrate content in grams per 100g for "" &amp; A63 &amp; "" from USDA. Return only the number. "")"),"30.9")</f>
        <v>30.9</v>
      </c>
      <c r="E63" s="6" t="str">
        <f>IFERROR(__xludf.DUMMYFUNCTION("AI(""Get total fat content in grams per 100g for "" &amp; A63 &amp; "" from USDA. Return only the number."")"),"1.1")</f>
        <v>1.1</v>
      </c>
      <c r="F63" s="8" t="str">
        <f>IFERROR(__xludf.DUMMYFUNCTION("AI(""Write 2 to 5 lines about the benefits and harms of "" &amp; A63 &amp; "". Keep it concise and objective."")"),"Pasta provides complex carbohydrates for energy. Whole-grain varieties are rich in fiber and micronutrients, supporting satiety and digestion. Refined white pasta, however, has a high glycemic index, which can cause blood sugar spikes. The main drawbacks "&amp;"are often due to high-fat sauces, large portions, and the gluten content, which is problematic for those with celiac disease.")</f>
        <v>Pasta provides complex carbohydrates for energy. Whole-grain varieties are rich in fiber and micronutrients, supporting satiety and digestion. Refined white pasta, however, has a high glycemic index, which can cause blood sugar spikes. The main drawbacks are often due to high-fat sauces, large portions, and the gluten content, which is problematic for those with celiac disease.</v>
      </c>
    </row>
    <row r="64" ht="22.5" customHeight="1">
      <c r="A64" s="12" t="s">
        <v>71</v>
      </c>
      <c r="B64" s="5" t="str">
        <f>IFERROR(__xludf.DUMMYFUNCTION("AI(""Get the calories per 100g for "" &amp; A64 &amp; "" from USDA database. Return only the numeric value (integer)."")"),"39")</f>
        <v>39</v>
      </c>
      <c r="C64" s="6" t="str">
        <f>IFERROR(__xludf.DUMMYFUNCTION("AI(""Get protein content in grams per 100g for "" &amp; A64 &amp; "" from USDA. Return only the number."")"),"0.91")</f>
        <v>0.91</v>
      </c>
      <c r="D64" s="6" t="str">
        <f>IFERROR(__xludf.DUMMYFUNCTION("AI(""Get carbohydrate content in grams per 100g for "" &amp; A64 &amp; "" from USDA. Return only the number. "")"),"9.5")</f>
        <v>9.5</v>
      </c>
      <c r="E64" s="6" t="str">
        <f>IFERROR(__xludf.DUMMYFUNCTION("AI(""Get total fat content in grams per 100g for "" &amp; A64 &amp; "" from USDA. Return only the number."")"),"0.3")</f>
        <v>0.3</v>
      </c>
      <c r="F64" s="8" t="str">
        <f>IFERROR(__xludf.DUMMYFUNCTION("AI(""Write 2 to 5 lines about the benefits and harms of "" &amp; A64 &amp; "". Keep it concise and objective."")"),"Peaches are low-calorie and rich in fiber, vitamins A and C, and potassium, supporting immune, heart, and digestive health. Potential harms include digestive discomfort (bloating or gas) from overeating the high fiber content. They also pose a risk of all"&amp;"ergic reactions in sensitive individuals. Excessive consumption may cause blood sugar spikes due to natural sugars.")</f>
        <v>Peaches are low-calorie and rich in fiber, vitamins A and C, and potassium, supporting immune, heart, and digestive health. Potential harms include digestive discomfort (bloating or gas) from overeating the high fiber content. They also pose a risk of allergic reactions in sensitive individuals. Excessive consumption may cause blood sugar spikes due to natural sugars.</v>
      </c>
    </row>
    <row r="65" ht="22.5" customHeight="1">
      <c r="A65" s="12" t="s">
        <v>72</v>
      </c>
      <c r="B65" s="5" t="str">
        <f>IFERROR(__xludf.DUMMYFUNCTION("AI(""Get the calories per 100g for "" &amp; A65 &amp; "" from USDA database. Return only the numeric value (integer)."")"),"81")</f>
        <v>81</v>
      </c>
      <c r="C65" s="6" t="str">
        <f>IFERROR(__xludf.DUMMYFUNCTION("AI(""Get protein content in grams per 100g for "" &amp; A65 &amp; "" from USDA. Return only the number."")"),"5.4")</f>
        <v>5.4</v>
      </c>
      <c r="D65" s="6" t="str">
        <f>IFERROR(__xludf.DUMMYFUNCTION("AI(""Get carbohydrate content in grams per 100g for "" &amp; A65 &amp; "" from USDA. Return only the number. "")"),"16")</f>
        <v>16</v>
      </c>
      <c r="E65" s="6" t="str">
        <f>IFERROR(__xludf.DUMMYFUNCTION("AI(""Get total fat content in grams per 100g for "" &amp; A65 &amp; "" from USDA. Return only the number."")"),"0.4")</f>
        <v>0.4</v>
      </c>
      <c r="F65" s="8" t="str">
        <f>IFERROR(__xludf.DUMMYFUNCTION("AI(""Write 2 to 5 lines about the benefits and harms of "" &amp; A65 &amp; "". Keep it concise and objective."")"),"Peas are highly nutritious, rich in fiber, protein, vitamins (C, K, A), and antioxidants, which support blood sugar control, heart health, and digestion. Due to high fiber and antinutrients like phytic acid, excessive daily intake can lead to bloating, ga"&amp;"s, and reduced mineral absorption. Eating them in moderation and using methods like cooking can mitigate these potential issues.")</f>
        <v>Peas are highly nutritious, rich in fiber, protein, vitamins (C, K, A), and antioxidants, which support blood sugar control, heart health, and digestion. Due to high fiber and antinutrients like phytic acid, excessive daily intake can lead to bloating, gas, and reduced mineral absorption. Eating them in moderation and using methods like cooking can mitigate these potential issues.</v>
      </c>
    </row>
    <row r="66" ht="22.5" customHeight="1">
      <c r="A66" s="12" t="s">
        <v>73</v>
      </c>
      <c r="B66" s="5" t="str">
        <f>IFERROR(__xludf.DUMMYFUNCTION("AI(""Get the calories per 100g for "" &amp; A66 &amp; "" from USDA database. Return only the numeric value (integer)."")"),"31")</f>
        <v>31</v>
      </c>
      <c r="C66" s="6" t="str">
        <f>IFERROR(__xludf.DUMMYFUNCTION("AI(""Get protein content in grams per 100g for "" &amp; A66 &amp; "" from USDA. Return only the number."")"),"1")</f>
        <v>1</v>
      </c>
      <c r="D66" s="6" t="str">
        <f>IFERROR(__xludf.DUMMYFUNCTION("AI(""Get carbohydrate content in grams per 100g for "" &amp; A66 &amp; "" from USDA. Return only the number. "")"),"6.02")</f>
        <v>6.02</v>
      </c>
      <c r="E66" s="6" t="str">
        <f>IFERROR(__xludf.DUMMYFUNCTION("AI(""Get total fat content in grams per 100g for "" &amp; A66 &amp; "" from USDA. Return only the number."")"),"0")</f>
        <v>0</v>
      </c>
      <c r="F66" s="8" t="str">
        <f>IFERROR(__xludf.DUMMYFUNCTION("AI(""Write 2 to 5 lines about the benefits and harms of "" &amp; A66 &amp; "". Keep it concise and objective."")"),"Bell peppers are excellent sources of Vitamin C and A, providing powerful antioxidants like lutein and zeaxanthin which support eye health and may reduce the risk of chronic diseases. Their fiber content aids in good digestive health. They are generally s"&amp;"afe, but some people may find them hard to digest or experience heartburn.")</f>
        <v>Bell peppers are excellent sources of Vitamin C and A, providing powerful antioxidants like lutein and zeaxanthin which support eye health and may reduce the risk of chronic diseases. Their fiber content aids in good digestive health. They are generally safe, but some people may find them hard to digest or experience heartburn.</v>
      </c>
    </row>
    <row r="67" ht="22.5" customHeight="1">
      <c r="A67" s="12" t="s">
        <v>74</v>
      </c>
      <c r="B67" s="5" t="str">
        <f>IFERROR(__xludf.DUMMYFUNCTION("AI(""Get the calories per 100g for "" &amp; A67 &amp; "" from USDA database. Return only the numeric value (integer)."")"),"50")</f>
        <v>50</v>
      </c>
      <c r="C67" s="6" t="str">
        <f>IFERROR(__xludf.DUMMYFUNCTION("AI(""Get protein content in grams per 100g for "" &amp; A67 &amp; "" from USDA. Return only the number."")"),"0.54")</f>
        <v>0.54</v>
      </c>
      <c r="D67" s="6" t="str">
        <f>IFERROR(__xludf.DUMMYFUNCTION("AI(""Get carbohydrate content in grams per 100g for "" &amp; A67 &amp; "" from USDA. Return only the number. "")"),"13")</f>
        <v>13</v>
      </c>
      <c r="E67" s="6" t="str">
        <f>IFERROR(__xludf.DUMMYFUNCTION("AI(""Get total fat content in grams per 100g for "" &amp; A67 &amp; "" from USDA. Return only the number."")"),"0")</f>
        <v>0</v>
      </c>
      <c r="F67" s="8" t="str">
        <f>IFERROR(__xludf.DUMMYFUNCTION("AI(""Write 2 to 5 lines about the benefits and harms of "" &amp; A67 &amp; "". Keep it concise and objective."")"),"Pineapple is rich in Vitamin C and manganese, and contains the enzyme bromelain, which aids digestion and has anti-inflammatory properties that may support immune and joint health. The main potential harm is that its natural acidity can contribute to toot"&amp;"h enamel erosion with frequent consumption. Rarely, it may cause an allergic reaction.")</f>
        <v>Pineapple is rich in Vitamin C and manganese, and contains the enzyme bromelain, which aids digestion and has anti-inflammatory properties that may support immune and joint health. The main potential harm is that its natural acidity can contribute to tooth enamel erosion with frequent consumption. Rarely, it may cause an allergic reaction.</v>
      </c>
    </row>
    <row r="68" ht="22.5" customHeight="1">
      <c r="A68" s="12" t="s">
        <v>75</v>
      </c>
      <c r="B68" s="5" t="str">
        <f>IFERROR(__xludf.DUMMYFUNCTION("AI(""Get the calories per 100g for "" &amp; A68 &amp; "" from USDA database. Return only the numeric value (integer)."")"),"266")</f>
        <v>266</v>
      </c>
      <c r="C68" s="6" t="str">
        <f>IFERROR(__xludf.DUMMYFUNCTION("AI(""Get protein content in grams per 100g for "" &amp; A68 &amp; "" from USDA. Return only the number."")"),"11.4")</f>
        <v>11.4</v>
      </c>
      <c r="D68" s="6" t="str">
        <f>IFERROR(__xludf.DUMMYFUNCTION("AI(""Get carbohydrate content in grams per 100g for "" &amp; A68 &amp; "" from USDA. Return only the number. "")"),"33")</f>
        <v>33</v>
      </c>
      <c r="E68" s="6" t="str">
        <f>IFERROR(__xludf.DUMMYFUNCTION("AI(""Get total fat content in grams per 100g for "" &amp; A68 &amp; "" from USDA. Return only the number."")"),"7.09")</f>
        <v>7.09</v>
      </c>
      <c r="F68" s="8" t="str">
        <f>IFERROR(__xludf.DUMMYFUNCTION("AI(""Write 2 to 5 lines about the benefits and harms of "" &amp; A68 &amp; "". Keep it concise and objective."")"),"The nutritional profile of pizza varies widely; options with whole-grain crusts and vegetable toppings offer protein, calcium, and fiber. Conversely, most commercial and fast-food varieties are high in calories, refined carbohydrates, saturated fat, and s"&amp;"odium. Regular consumption is linked to risks such as weight gain, high cholesterol, and an increased risk of heart disease. The presence of processed meats and refined oils in many recipes further diminishes its health benefits.")</f>
        <v>The nutritional profile of pizza varies widely; options with whole-grain crusts and vegetable toppings offer protein, calcium, and fiber. Conversely, most commercial and fast-food varieties are high in calories, refined carbohydrates, saturated fat, and sodium. Regular consumption is linked to risks such as weight gain, high cholesterol, and an increased risk of heart disease. The presence of processed meats and refined oils in many recipes further diminishes its health benefits.</v>
      </c>
    </row>
    <row r="69" ht="22.5" customHeight="1">
      <c r="A69" s="12" t="s">
        <v>76</v>
      </c>
      <c r="B69" s="5" t="str">
        <f>IFERROR(__xludf.DUMMYFUNCTION("AI(""Get the calories per 100g for "" &amp; A69 &amp; "" from USDA database. Return only the numeric value (integer)."")"),"83")</f>
        <v>83</v>
      </c>
      <c r="C69" s="6" t="str">
        <f>IFERROR(__xludf.DUMMYFUNCTION("AI(""Get protein content in grams per 100g for "" &amp; A69 &amp; "" from USDA. Return only the number."")"),"1.67")</f>
        <v>1.67</v>
      </c>
      <c r="D69" s="6" t="str">
        <f>IFERROR(__xludf.DUMMYFUNCTION("AI(""Get carbohydrate content in grams per 100g for "" &amp; A69 &amp; "" from USDA. Return only the number. "")"),"19")</f>
        <v>19</v>
      </c>
      <c r="E69" s="6" t="str">
        <f>IFERROR(__xludf.DUMMYFUNCTION("AI(""Get total fat content in grams per 100g for "" &amp; A69 &amp; "" from USDA. Return only the number."")"),"1.2")</f>
        <v>1.2</v>
      </c>
      <c r="F69" s="8" t="str">
        <f>IFERROR(__xludf.DUMMYFUNCTION("AI(""Write 2 to 5 lines about the benefits and harms of "" &amp; A69 &amp; "". Keep it concise and objective."")"),"Pomegranate is a ""superfood"" rich in potent antioxidants that can help lower blood pressure and offer anti-inflammatory and anti-cancer properties. However, it can interact with certain medications, such as blood pressure drugs, statins, and blood thinn"&amp;"ers, and may cause allergic reactions or digestive issues in sensitive individuals.")</f>
        <v>Pomegranate is a "superfood" rich in potent antioxidants that can help lower blood pressure and offer anti-inflammatory and anti-cancer properties. However, it can interact with certain medications, such as blood pressure drugs, statins, and blood thinners, and may cause allergic reactions or digestive issues in sensitive individuals.</v>
      </c>
    </row>
    <row r="70" ht="22.5" customHeight="1">
      <c r="A70" s="12" t="s">
        <v>77</v>
      </c>
      <c r="B70" s="5" t="str">
        <f>IFERROR(__xludf.DUMMYFUNCTION("AI(""Get the calories per 100g for "" &amp; A70 &amp; "" from USDA database. Return only the numeric value (integer)."")"),"387")</f>
        <v>387</v>
      </c>
      <c r="C70" s="6" t="str">
        <f>IFERROR(__xludf.DUMMYFUNCTION("AI(""Get protein content in grams per 100g for "" &amp; A70 &amp; "" from USDA. Return only the number."")"),"13")</f>
        <v>13</v>
      </c>
      <c r="D70" s="6" t="str">
        <f>IFERROR(__xludf.DUMMYFUNCTION("AI(""Get carbohydrate content in grams per 100g for "" &amp; A70 &amp; "" from USDA. Return only the number. "")"),"78")</f>
        <v>78</v>
      </c>
      <c r="E70" s="6" t="str">
        <f>IFERROR(__xludf.DUMMYFUNCTION("AI(""Get total fat content in grams per 100g for "" &amp; A70 &amp; "" from USDA. Return only the number."")"),"4.5")</f>
        <v>4.5</v>
      </c>
      <c r="F70" s="8" t="str">
        <f>IFERROR(__xludf.DUMMYFUNCTION("AI(""Write 2 to 5 lines about the benefits and harms of "" &amp; A70 &amp; "". Keep it concise and objective."")"),"Popcorn is a healthy 100% whole grain, rich in fiber and antioxidants, which supports digestion, heart health, and weight management when air-popped and plain. Its high fiber and low-calorie count may help reduce the risk of diabetes and hypertension. Con"&amp;"versely, adding butter, oils, or excessive salt/sugar dramatically increases calories, fat, and sodium (e.g., movie theater popcorn). Certain microwave popcorn flavorings or bag chemicals (like diacetyl or PFOA) have been linked to potential health concer"&amp;"ns.")</f>
        <v>Popcorn is a healthy 100% whole grain, rich in fiber and antioxidants, which supports digestion, heart health, and weight management when air-popped and plain. Its high fiber and low-calorie count may help reduce the risk of diabetes and hypertension. Conversely, adding butter, oils, or excessive salt/sugar dramatically increases calories, fat, and sodium (e.g., movie theater popcorn). Certain microwave popcorn flavorings or bag chemicals (like diacetyl or PFOA) have been linked to potential health concerns.</v>
      </c>
    </row>
    <row r="71" ht="22.5" customHeight="1">
      <c r="A71" s="12" t="s">
        <v>78</v>
      </c>
      <c r="B71" s="5" t="str">
        <f>IFERROR(__xludf.DUMMYFUNCTION("AI(""Get the calories per 100g for "" &amp; A71 &amp; "" from USDA database. Return only the numeric value (integer)."")"),"93")</f>
        <v>93</v>
      </c>
      <c r="C71" s="6" t="str">
        <f>IFERROR(__xludf.DUMMYFUNCTION("AI(""Get protein content in grams per 100g for "" &amp; A71 &amp; "" from USDA. Return only the number."")"),"2.5")</f>
        <v>2.5</v>
      </c>
      <c r="D71" s="6" t="str">
        <f>IFERROR(__xludf.DUMMYFUNCTION("AI(""Get carbohydrate content in grams per 100g for "" &amp; A71 &amp; "" from USDA. Return only the number. "")"),"20.45")</f>
        <v>20.45</v>
      </c>
      <c r="E71" s="6" t="str">
        <f>IFERROR(__xludf.DUMMYFUNCTION("AI(""Get total fat content in grams per 100g for "" &amp; A71 &amp; "" from USDA. Return only the number."")"),"0")</f>
        <v>0</v>
      </c>
      <c r="F71" s="8" t="str">
        <f>IFERROR(__xludf.DUMMYFUNCTION("AI(""Write 2 to 5 lines about the benefits and harms of "" &amp; A71 &amp; "". Keep it concise and objective."")"),"Potatoes are a source of key nutrients like potassium, vitamin C, and fiber, and their resistant starch supports gut health and promotes satiety, which can aid in weight management. However, they have a high glycemic load, which may affect blood sugar lev"&amp;"els, and deep-fried preparations like chips and fries are linked to an increased risk of weight gain and type 2 diabetes. Eating green or damaged potatoes is dangerous due to the presence of poisonous chemicals.")</f>
        <v>Potatoes are a source of key nutrients like potassium, vitamin C, and fiber, and their resistant starch supports gut health and promotes satiety, which can aid in weight management. However, they have a high glycemic load, which may affect blood sugar levels, and deep-fried preparations like chips and fries are linked to an increased risk of weight gain and type 2 diabetes. Eating green or damaged potatoes is dangerous due to the presence of poisonous chemicals.</v>
      </c>
    </row>
    <row r="72" ht="22.5" customHeight="1">
      <c r="A72" s="12" t="s">
        <v>79</v>
      </c>
      <c r="B72" s="5" t="str">
        <f>IFERROR(__xludf.DUMMYFUNCTION("AI(""Get the calories per 100g for "" &amp; A72 &amp; "" from USDA database. Return only the numeric value (integer)."")"),"143")</f>
        <v>143</v>
      </c>
      <c r="C72" s="6" t="str">
        <f>IFERROR(__xludf.DUMMYFUNCTION("AI(""Get protein content in grams per 100g for "" &amp; A72 &amp; "" from USDA. Return only the number."")"),"2.7")</f>
        <v>2.7</v>
      </c>
      <c r="D72" s="6" t="str">
        <f>IFERROR(__xludf.DUMMYFUNCTION("AI(""Get carbohydrate content in grams per 100g for "" &amp; A72 &amp; "" from USDA. Return only the number. "")"),"12")</f>
        <v>12</v>
      </c>
      <c r="E72" s="6" t="str">
        <f>IFERROR(__xludf.DUMMYFUNCTION("AI(""Get total fat content in grams per 100g for "" &amp; A72 &amp; "" from USDA. Return only the number."")"),"8.2")</f>
        <v>8.2</v>
      </c>
      <c r="F72" s="8" t="str">
        <f>IFERROR(__xludf.DUMMYFUNCTION("AI(""Write 2 to 5 lines about the benefits and harms of "" &amp; A72 &amp; "". Keep it concise and objective."")"),"Potato salad offers a source of potassium and carbohydrates; when cooled, it contains resistant starch that benefits gut health and blood sugar control. However, many recipes, particularly store-bought ones, are very high in calories, total fat (often sat"&amp;"urated), and sodium due to the creamy dressings, which can increase risks for weight gain and hypertension.")</f>
        <v>Potato salad offers a source of potassium and carbohydrates; when cooled, it contains resistant starch that benefits gut health and blood sugar control. However, many recipes, particularly store-bought ones, are very high in calories, total fat (often saturated), and sodium due to the creamy dressings, which can increase risks for weight gain and hypertension.</v>
      </c>
    </row>
    <row r="73" ht="22.5" customHeight="1">
      <c r="A73" s="12" t="s">
        <v>80</v>
      </c>
      <c r="B73" s="5" t="str">
        <f>IFERROR(__xludf.DUMMYFUNCTION("AI(""Get the calories per 100g for "" &amp; A73 &amp; "" from USDA database. Return only the numeric value (integer)."")"),"338")</f>
        <v>338</v>
      </c>
      <c r="C73" s="6" t="str">
        <f>IFERROR(__xludf.DUMMYFUNCTION("AI(""Get protein content in grams per 100g for "" &amp; A73 &amp; "" from USDA. Return only the number."")"),"9.1")</f>
        <v>9.1</v>
      </c>
      <c r="D73" s="6" t="str">
        <f>IFERROR(__xludf.DUMMYFUNCTION("AI(""Get carbohydrate content in grams per 100g for "" &amp; A73 &amp; "" from USDA. Return only the number. "")"),"79")</f>
        <v>79</v>
      </c>
      <c r="E73" s="6" t="str">
        <f>IFERROR(__xludf.DUMMYFUNCTION("AI(""Get total fat content in grams per 100g for "" &amp; A73 &amp; "" from USDA. Return only the number."")"),"3")</f>
        <v>3</v>
      </c>
      <c r="F73" s="8" t="str">
        <f>IFERROR(__xludf.DUMMYFUNCTION("AI(""Write 2 to 5 lines about the benefits and harms of "" &amp; A73 &amp; "". Keep it concise and objective."")"),"Pretzels are typically low in fat and can provide a quick source of carbohydrate energy. However, traditional varieties are often high in sodium and made from refined flour, lacking significant fiber and protein. This composition can lead to rapid blood s"&amp;"ugar spikes and should be consumed in moderation, especially if watching salt intake.")</f>
        <v>Pretzels are typically low in fat and can provide a quick source of carbohydrate energy. However, traditional varieties are often high in sodium and made from refined flour, lacking significant fiber and protein. This composition can lead to rapid blood sugar spikes and should be consumed in moderation, especially if watching salt intake.</v>
      </c>
    </row>
    <row r="74" ht="22.5" customHeight="1">
      <c r="A74" s="12" t="s">
        <v>81</v>
      </c>
      <c r="B74" s="5" t="str">
        <f>IFERROR(__xludf.DUMMYFUNCTION("AI(""Get the calories per 100g for "" &amp; A74 &amp; "" from USDA database. Return only the numeric value (integer)."")"),"26")</f>
        <v>26</v>
      </c>
      <c r="C74" s="6" t="str">
        <f>IFERROR(__xludf.DUMMYFUNCTION("AI(""Get protein content in grams per 100g for "" &amp; A74 &amp; "" from USDA. Return only the number."")"),"0.72")</f>
        <v>0.72</v>
      </c>
      <c r="D74" s="6" t="str">
        <f>IFERROR(__xludf.DUMMYFUNCTION("AI(""Get carbohydrate content in grams per 100g for "" &amp; A74 &amp; "" from USDA. Return only the number. "")"),"6.5")</f>
        <v>6.5</v>
      </c>
      <c r="E74" s="6" t="str">
        <f>IFERROR(__xludf.DUMMYFUNCTION("AI(""Get total fat content in grams per 100g for "" &amp; A74 &amp; "" from USDA. Return only the number."")"),"0.07")</f>
        <v>0.07</v>
      </c>
      <c r="F74" s="8" t="str">
        <f>IFERROR(__xludf.DUMMYFUNCTION("AI(""Write 2 to 5 lines about the benefits and harms of "" &amp; A74 &amp; "". Keep it concise and objective."")"),"Pumpkin is rich in beta-carotene (Vitamin A for vision and immunity), fiber for digestion, and potassium for heart health, while being low in calories. Pure pumpkin supports weight management, but high-sugar pumpkin-flavored desserts can negate these bene"&amp;"fits. Individuals with kidney issues should monitor intake due to its high potassium content.")</f>
        <v>Pumpkin is rich in beta-carotene (Vitamin A for vision and immunity), fiber for digestion, and potassium for heart health, while being low in calories. Pure pumpkin supports weight management, but high-sugar pumpkin-flavored desserts can negate these benefits. Individuals with kidney issues should monitor intake due to its high potassium content.</v>
      </c>
    </row>
    <row r="75" ht="22.5" customHeight="1">
      <c r="A75" s="12" t="s">
        <v>82</v>
      </c>
      <c r="B75" s="5" t="str">
        <f>IFERROR(__xludf.DUMMYFUNCTION("AI(""Get the calories per 100g for "" &amp; A75 &amp; "" from USDA database. Return only the numeric value (integer)."")"),"16")</f>
        <v>16</v>
      </c>
      <c r="C75" s="6" t="str">
        <f>IFERROR(__xludf.DUMMYFUNCTION("AI(""Get protein content in grams per 100g for "" &amp; A75 &amp; "" from USDA. Return only the number."")"),"0.8")</f>
        <v>0.8</v>
      </c>
      <c r="D75" s="6" t="str">
        <f>IFERROR(__xludf.DUMMYFUNCTION("AI(""Get carbohydrate content in grams per 100g for "" &amp; A75 &amp; "" from USDA. Return only the number. "")"),"3.4")</f>
        <v>3.4</v>
      </c>
      <c r="E75" s="6" t="str">
        <f>IFERROR(__xludf.DUMMYFUNCTION("AI(""Get total fat content in grams per 100g for "" &amp; A75 &amp; "" from USDA. Return only the number."")"),"0.1")</f>
        <v>0.1</v>
      </c>
      <c r="F75" s="8" t="str">
        <f>IFERROR(__xludf.DUMMYFUNCTION("AI(""Write 2 to 5 lines about the benefits and harms of "" &amp; A75 &amp; "". Keep it concise and objective."")"),"Radish is a root vegetable rich in Vitamin C, potassium, and fiber, supporting the immune system, heart health, and digestion. It also contains compounds that may offer liver protection and anti-cancer benefits. Excessive consumption can potentially cause"&amp;" gas and diarrhea due to its sulfurous components and accelerating effect on bowel movements. Those with conditions like gastritis or ulcers should consume it moderately.")</f>
        <v>Radish is a root vegetable rich in Vitamin C, potassium, and fiber, supporting the immune system, heart health, and digestion. It also contains compounds that may offer liver protection and anti-cancer benefits. Excessive consumption can potentially cause gas and diarrhea due to its sulfurous components and accelerating effect on bowel movements. Those with conditions like gastritis or ulcers should consume it moderately.</v>
      </c>
    </row>
    <row r="76" ht="22.5" customHeight="1">
      <c r="A76" s="12" t="s">
        <v>83</v>
      </c>
      <c r="B76" s="5" t="str">
        <f>IFERROR(__xludf.DUMMYFUNCTION("AI(""Get the calories per 100g for "" &amp; A76 &amp; "" from USDA database. Return only the numeric value (integer)."")"),"130")</f>
        <v>130</v>
      </c>
      <c r="C76" s="6" t="str">
        <f>IFERROR(__xludf.DUMMYFUNCTION("AI(""Get protein content in grams per 100g for "" &amp; A76 &amp; "" from USDA. Return only the number."")"),"2.7")</f>
        <v>2.7</v>
      </c>
      <c r="D76" s="6" t="str">
        <f>IFERROR(__xludf.DUMMYFUNCTION("AI(""Get carbohydrate content in grams per 100g for "" &amp; A76 &amp; "" from USDA. Return only the number. "")"),"28.2")</f>
        <v>28.2</v>
      </c>
      <c r="E76" s="6" t="str">
        <f>IFERROR(__xludf.DUMMYFUNCTION("AI(""Get total fat content in grams per 100g for "" &amp; A76 &amp; "" from USDA. Return only the number."")"),"0.28")</f>
        <v>0.28</v>
      </c>
      <c r="F76" s="8" t="str">
        <f>IFERROR(__xludf.DUMMYFUNCTION("AI(""Write 2 to 5 lines about the benefits and harms of "" &amp; A76 &amp; "". Keep it concise and objective."")"),"Rice is an excellent source of energy-providing carbohydrates. Brown rice, a whole grain, offers superior benefits due to fiber and antioxidants, aiding heart health and potentially lowering the risk of type 2 diabetes. Conversely, high consumption of whi"&amp;"te rice may increase type 2 diabetes risk due to a higher glycemic index, and all rice can accumulate heavy metals like arsenic.")</f>
        <v>Rice is an excellent source of energy-providing carbohydrates. Brown rice, a whole grain, offers superior benefits due to fiber and antioxidants, aiding heart health and potentially lowering the risk of type 2 diabetes. Conversely, high consumption of white rice may increase type 2 diabetes risk due to a higher glycemic index, and all rice can accumulate heavy metals like arsenic.</v>
      </c>
    </row>
    <row r="77" ht="22.5" customHeight="1">
      <c r="A77" s="12" t="s">
        <v>84</v>
      </c>
      <c r="B77" s="5" t="str">
        <f>IFERROR(__xludf.DUMMYFUNCTION("AI(""Get the calories per 100g for "" &amp; A77 &amp; "" from USDA database. Return only the numeric value (integer)."")"),"154")</f>
        <v>154</v>
      </c>
      <c r="C77" s="6" t="str">
        <f>IFERROR(__xludf.DUMMYFUNCTION("AI(""Get protein content in grams per 100g for "" &amp; A77 &amp; "" from USDA. Return only the number."")"),"10.33")</f>
        <v>10.33</v>
      </c>
      <c r="D77" s="6" t="str">
        <f>IFERROR(__xludf.DUMMYFUNCTION("AI(""Get carbohydrate content in grams per 100g for "" &amp; A77 &amp; "" from USDA. Return only the number. "")"),"1.1")</f>
        <v>1.1</v>
      </c>
      <c r="E77" s="6" t="str">
        <f>IFERROR(__xludf.DUMMYFUNCTION("AI(""Get total fat content in grams per 100g for "" &amp; A77 &amp; "" from USDA. Return only the number."")"),"11.2")</f>
        <v>11.2</v>
      </c>
      <c r="F77" s="8" t="str">
        <f>IFERROR(__xludf.DUMMYFUNCTION("AI(""Write 2 to 5 lines about the benefits and harms of "" &amp; A77 &amp; "". Keep it concise and objective."")"),"A rolled omelet provides high-quality protein and essential nutrients like choline and Vitamin D, supporting muscle health and brain function. However, the fat and calorie content can vary greatly depending on the amount of added oil, butter, or high-fat "&amp;"fillings used in preparation. Consuming high-fat versions regularly may contribute to increased saturated fat and cholesterol intake.")</f>
        <v>A rolled omelet provides high-quality protein and essential nutrients like choline and Vitamin D, supporting muscle health and brain function. However, the fat and calorie content can vary greatly depending on the amount of added oil, butter, or high-fat fillings used in preparation. Consuming high-fat versions regularly may contribute to increased saturated fat and cholesterol intake.</v>
      </c>
    </row>
    <row r="78" ht="22.5" customHeight="1">
      <c r="A78" s="12" t="s">
        <v>85</v>
      </c>
      <c r="B78" s="5" t="str">
        <f>IFERROR(__xludf.DUMMYFUNCTION("AI(""Get the calories per 100g for "" &amp; A78 &amp; "" from USDA database. Return only the numeric value (integer)."")"),"100")</f>
        <v>100</v>
      </c>
      <c r="C78" s="6" t="str">
        <f>IFERROR(__xludf.DUMMYFUNCTION("AI(""Get protein content in grams per 100g for "" &amp; A78 &amp; "" from USDA. Return only the number."")"),"1.29")</f>
        <v>1.29</v>
      </c>
      <c r="D78" s="6" t="str">
        <f>IFERROR(__xludf.DUMMYFUNCTION("AI(""Get carbohydrate content in grams per 100g for "" &amp; A78 &amp; "" from USDA. Return only the number. "")"),"1")</f>
        <v>1</v>
      </c>
      <c r="E78" s="6" t="str">
        <f>IFERROR(__xludf.DUMMYFUNCTION("AI(""Get total fat content in grams per 100g for "" &amp; A78 &amp; "" from USDA. Return only the number."")"),"25")</f>
        <v>25</v>
      </c>
      <c r="F78" s="8" t="str">
        <f>IFERROR(__xludf.DUMMYFUNCTION("AI(""Write 2 to 5 lines about the benefits and harms of "" &amp; A78 &amp; "". Keep it concise and objective."")"),"Salads are excellent sources of vitamins, fiber, and antioxidants, supporting digestion and potentially aiding in weight management when composed properly. Benefits are maximized with colorful vegetables, lean protein, and healthy fats (like olive oil or "&amp;"avocado). However, the nutritional value can be negated by high-calorie, high-fat, or high-sugar dressings and toppings.")</f>
        <v>Salads are excellent sources of vitamins, fiber, and antioxidants, supporting digestion and potentially aiding in weight management when composed properly. Benefits are maximized with colorful vegetables, lean protein, and healthy fats (like olive oil or avocado). However, the nutritional value can be negated by high-calorie, high-fat, or high-sugar dressings and toppings.</v>
      </c>
    </row>
    <row r="79" ht="22.5" customHeight="1">
      <c r="A79" s="12" t="s">
        <v>86</v>
      </c>
      <c r="B79" s="5" t="str">
        <f>IFERROR(__xludf.DUMMYFUNCTION("AI(""Get the calories per 100g for "" &amp; A79 &amp; "" from USDA database. Return only the numeric value (integer)."")"),"206")</f>
        <v>206</v>
      </c>
      <c r="C79" s="6" t="str">
        <f>IFERROR(__xludf.DUMMYFUNCTION("AI(""Get protein content in grams per 100g for "" &amp; A79 &amp; "" from USDA. Return only the number."")"),"20")</f>
        <v>20</v>
      </c>
      <c r="D79" s="6" t="str">
        <f>IFERROR(__xludf.DUMMYFUNCTION("AI(""Get carbohydrate content in grams per 100g for "" &amp; A79 &amp; "" from USDA. Return only the number. "")"),"0")</f>
        <v>0</v>
      </c>
      <c r="E79" s="10">
        <v>13.0</v>
      </c>
      <c r="F79" s="8" t="str">
        <f>IFERROR(__xludf.DUMMYFUNCTION("AI(""Write 2 to 5 lines about the benefits and harms of "" &amp; A79 &amp; "". Keep it concise and objective."")"),"Salmon is highly beneficial, packed with Omega-3 fatty acids for heart and brain health, complete protein, and Vitamin D. Potential concerns involve risk of parasites or bacteria if eaten raw and slightly higher levels of contaminants like PCBs in some fa"&amp;"rmed varieties, though most are deemed safe.")</f>
        <v>Salmon is highly beneficial, packed with Omega-3 fatty acids for heart and brain health, complete protein, and Vitamin D. Potential concerns involve risk of parasites or bacteria if eaten raw and slightly higher levels of contaminants like PCBs in some farmed varieties, though most are deemed safe.</v>
      </c>
    </row>
    <row r="80" ht="22.5" customHeight="1">
      <c r="A80" s="12" t="s">
        <v>87</v>
      </c>
      <c r="B80" s="5" t="str">
        <f>IFERROR(__xludf.DUMMYFUNCTION("AI(""Get the calories per 100g for "" &amp; A80 &amp; "" from USDA database. Return only the numeric value (integer)."")"),"41")</f>
        <v>41</v>
      </c>
      <c r="C80" s="6" t="str">
        <f>IFERROR(__xludf.DUMMYFUNCTION("AI(""Get protein content in grams per 100g for "" &amp; A80 &amp; "" from USDA. Return only the number."")"),"3.0")</f>
        <v>3.0</v>
      </c>
      <c r="D80" s="6" t="str">
        <f>IFERROR(__xludf.DUMMYFUNCTION("AI(""Get carbohydrate content in grams per 100g for "" &amp; A80 &amp; "" from USDA. Return only the number. "")"),"6.75")</f>
        <v>6.75</v>
      </c>
      <c r="E80" s="6" t="str">
        <f>IFERROR(__xludf.DUMMYFUNCTION("AI(""Get total fat content in grams per 100g for "" &amp; A80 &amp; "" from USDA. Return only the number."")"),"2.3")</f>
        <v>2.3</v>
      </c>
      <c r="F80" s="8" t="str">
        <f>IFERROR(__xludf.DUMMYFUNCTION("AI(""Write 2 to 5 lines about the benefits and harms of "" &amp; A80 &amp; "". Keep it concise and objective."")"),"Sautéing spinach increases the absorption of minerals like iron and calcium by reducing oxalic acid, and the use of oil enhances the bioavailability of fat-soluble vitamins A and K. It is a nutrient-dense food high in fiber, folate, and antioxidants for e"&amp;"ye and bone health. Harms are primarily linked to excessive intake, which may contribute to kidney stone formation in prone individuals due to remaining oxalates, or interfere with blood thinners due to its high Vitamin K.")</f>
        <v>Sautéing spinach increases the absorption of minerals like iron and calcium by reducing oxalic acid, and the use of oil enhances the bioavailability of fat-soluble vitamins A and K. It is a nutrient-dense food high in fiber, folate, and antioxidants for eye and bone health. Harms are primarily linked to excessive intake, which may contribute to kidney stone formation in prone individuals due to remaining oxalates, or interfere with blood thinners due to its high Vitamin K.</v>
      </c>
    </row>
    <row r="81" ht="22.5" customHeight="1">
      <c r="A81" s="12" t="s">
        <v>88</v>
      </c>
      <c r="B81" s="5" t="str">
        <f>IFERROR(__xludf.DUMMYFUNCTION("AI(""Get the calories per 100g for "" &amp; A81 &amp; "" from USDA database. Return only the numeric value (integer)."")"),"67")</f>
        <v>67</v>
      </c>
      <c r="C81" s="6" t="str">
        <f>IFERROR(__xludf.DUMMYFUNCTION("AI(""Get protein content in grams per 100g for "" &amp; A81 &amp; "" from USDA. Return only the number."")"),"3.5")</f>
        <v>3.5</v>
      </c>
      <c r="D81" s="6" t="str">
        <f>IFERROR(__xludf.DUMMYFUNCTION("AI(""Get carbohydrate content in grams per 100g for "" &amp; A81 &amp; "" from USDA. Return only the number. "")"),"6.7")</f>
        <v>6.7</v>
      </c>
      <c r="E81" s="6" t="str">
        <f>IFERROR(__xludf.DUMMYFUNCTION("AI(""Get total fat content in grams per 100g for "" &amp; A81 &amp; "" from USDA. Return only the number."")"),"4.67")</f>
        <v>4.67</v>
      </c>
      <c r="F81" s="8" t="str">
        <f>IFERROR(__xludf.DUMMYFUNCTION("AI(""Write 2 to 5 lines about the benefits and harms of "" &amp; A81 &amp; "". Keep it concise and objective."")"),"Sauteing can improve the body's absorption of fat-soluble vitamins (A, D, E, K) when done with a small amount of healthy oil. This quick cooking method generally helps retain more water-soluble vitamins compared to boiling. However, using too much oil or "&amp;"cooking at very high heat for too long can increase the fat/calorie content and degrade certain heat-sensitive nutrients.")</f>
        <v>Sauteing can improve the body's absorption of fat-soluble vitamins (A, D, E, K) when done with a small amount of healthy oil. This quick cooking method generally helps retain more water-soluble vitamins compared to boiling. However, using too much oil or cooking at very high heat for too long can increase the fat/calorie content and degrade certain heat-sensitive nutrients.</v>
      </c>
    </row>
    <row r="82" ht="22.5" customHeight="1">
      <c r="A82" s="12" t="s">
        <v>89</v>
      </c>
      <c r="B82" s="5" t="str">
        <f>IFERROR(__xludf.DUMMYFUNCTION("AI(""Get the calories per 100g for "" &amp; A82 &amp; "" from USDA database. Return only the numeric value (integer)."")"),"85")</f>
        <v>85</v>
      </c>
      <c r="C82" s="6" t="str">
        <f>IFERROR(__xludf.DUMMYFUNCTION("AI(""Get protein content in grams per 100g for "" &amp; A82 &amp; "" from USDA. Return only the number."")"),"24")</f>
        <v>24</v>
      </c>
      <c r="D82" s="6" t="str">
        <f>IFERROR(__xludf.DUMMYFUNCTION("AI(""Get carbohydrate content in grams per 100g for "" &amp; A82 &amp; "" from USDA. Return only the number. "")"),"1.53")</f>
        <v>1.53</v>
      </c>
      <c r="E82" s="6" t="str">
        <f>IFERROR(__xludf.DUMMYFUNCTION("AI(""Get total fat content in grams per 100g for "" &amp; A82 &amp; "" from USDA. Return only the number."")"),"0.28")</f>
        <v>0.28</v>
      </c>
      <c r="F82" s="8" t="str">
        <f>IFERROR(__xludf.DUMMYFUNCTION("AI(""Write 2 to 5 lines about the benefits and harms of "" &amp; A82 &amp; "". Keep it concise and objective."")"),"Shrimp is a low-calorie, high-protein food rich in nutrients like iodine, selenium, and the antioxidant astaxanthin. It is generally considered heart-healthy due to being low in saturated fat, despite its high dietary cholesterol content. Potential harms "&amp;"include common shellfish allergies, the risk of foodborne illness if raw or improperly prepared, and moderate purine content that can affect those with gout. Choosing wild-caught shrimp is often recommended to minimize exposure to potential contaminants f"&amp;"ound in some farmed varieties.")</f>
        <v>Shrimp is a low-calorie, high-protein food rich in nutrients like iodine, selenium, and the antioxidant astaxanthin. It is generally considered heart-healthy due to being low in saturated fat, despite its high dietary cholesterol content. Potential harms include common shellfish allergies, the risk of foodborne illness if raw or improperly prepared, and moderate purine content that can affect those with gout. Choosing wild-caught shrimp is often recommended to minimize exposure to potential contaminants found in some farmed varieties.</v>
      </c>
    </row>
    <row r="83" ht="22.5" customHeight="1">
      <c r="A83" s="12" t="s">
        <v>90</v>
      </c>
      <c r="B83" s="5" t="str">
        <f>IFERROR(__xludf.DUMMYFUNCTION("AI(""Get the calories per 100g for "" &amp; A83 &amp; "" from USDA database. Return only the numeric value (integer)."")"),"74")</f>
        <v>74</v>
      </c>
      <c r="C83" s="6" t="str">
        <f>IFERROR(__xludf.DUMMYFUNCTION("AI(""Get protein content in grams per 100g for "" &amp; A83 &amp; "" from USDA. Return only the number."")"),"3.3")</f>
        <v>3.3</v>
      </c>
      <c r="D83" s="6" t="str">
        <f>IFERROR(__xludf.DUMMYFUNCTION("AI(""Get carbohydrate content in grams per 100g for "" &amp; A83 &amp; "" from USDA. Return only the number. "")"),"0.73")</f>
        <v>0.73</v>
      </c>
      <c r="E83" s="6" t="str">
        <f>IFERROR(__xludf.DUMMYFUNCTION("AI(""Get total fat content in grams per 100g for "" &amp; A83 &amp; "" from USDA. Return only the number."")"),"0.9")</f>
        <v>0.9</v>
      </c>
      <c r="F83" s="8" t="str">
        <f>IFERROR(__xludf.DUMMYFUNCTION("AI(""Write 2 to 5 lines about the benefits and harms of "" &amp; A83 &amp; "". Keep it concise and objective."")"),"Soup can be highly nutritious, providing vitamins, minerals, and fiber while promoting hydration, satiety, and potentially aiding in weight management. However, its health profile depends heavily on ingredients. Cream-based, canned, or restaurant soups ma"&amp;"y be high in saturated fat, calories, and sodium, which can elevate blood pressure and increase heart disease risk.")</f>
        <v>Soup can be highly nutritious, providing vitamins, minerals, and fiber while promoting hydration, satiety, and potentially aiding in weight management. However, its health profile depends heavily on ingredients. Cream-based, canned, or restaurant soups may be high in saturated fat, calories, and sodium, which can elevate blood pressure and increase heart disease risk.</v>
      </c>
    </row>
    <row r="84" ht="22.5" customHeight="1">
      <c r="A84" s="12" t="s">
        <v>91</v>
      </c>
      <c r="B84" s="5" t="str">
        <f>IFERROR(__xludf.DUMMYFUNCTION("AI(""Get the calories per 100g for "" &amp; A84 &amp; "" from USDA database. Return only the numeric value (integer)."")"),"158")</f>
        <v>158</v>
      </c>
      <c r="C84" s="6" t="str">
        <f>IFERROR(__xludf.DUMMYFUNCTION("AI(""Get protein content in grams per 100g for "" &amp; A84 &amp; "" from USDA. Return only the number."")"),"5.8")</f>
        <v>5.8</v>
      </c>
      <c r="D84" s="6" t="str">
        <f>IFERROR(__xludf.DUMMYFUNCTION("AI(""Get carbohydrate content in grams per 100g for "" &amp; A84 &amp; "" from USDA. Return only the number. "")"),"30.9")</f>
        <v>30.9</v>
      </c>
      <c r="E84" s="6" t="str">
        <f>IFERROR(__xludf.DUMMYFUNCTION("AI(""Get total fat content in grams per 100g for "" &amp; A84 &amp; "" from USDA. Return only the number."")"),"0.9")</f>
        <v>0.9</v>
      </c>
      <c r="F84" s="8" t="str">
        <f>IFERROR(__xludf.DUMMYFUNCTION("AI(""Write 2 to 5 lines about the benefits and harms of "" &amp; A84 &amp; "". Keep it concise and objective."")"),"Spaghetti, especially whole-grain, provides complex carbohydrates for sustained energy and is a good source of fiber, which supports digestive and heart health. However, refined white pasta is lower in nutrients and can contribute to blood sugar spikes. T"&amp;"he main drawbacks often come from oversized portions, high-fat sauces, and its gluten content, which is a concern for sensitive individuals.")</f>
        <v>Spaghetti, especially whole-grain, provides complex carbohydrates for sustained energy and is a good source of fiber, which supports digestive and heart health. However, refined white pasta is lower in nutrients and can contribute to blood sugar spikes. The main drawbacks often come from oversized portions, high-fat sauces, and its gluten content, which is a concern for sensitive individuals.</v>
      </c>
    </row>
    <row r="85" ht="22.5" customHeight="1">
      <c r="A85" s="12" t="s">
        <v>92</v>
      </c>
      <c r="B85" s="5" t="str">
        <f>IFERROR(__xludf.DUMMYFUNCTION("AI(""Get the calories per 100g for "" &amp; A85 &amp; "" from USDA database. Return only the numeric value (integer)."")"),"23")</f>
        <v>23</v>
      </c>
      <c r="C85" s="6" t="str">
        <f>IFERROR(__xludf.DUMMYFUNCTION("AI(""Get protein content in grams per 100g for "" &amp; A85 &amp; "" from USDA. Return only the number."")"),"2.86")</f>
        <v>2.86</v>
      </c>
      <c r="D85" s="6" t="str">
        <f>IFERROR(__xludf.DUMMYFUNCTION("AI(""Get carbohydrate content in grams per 100g for "" &amp; A85 &amp; "" from USDA. Return only the number. "")"),"3.8")</f>
        <v>3.8</v>
      </c>
      <c r="E85" s="6" t="str">
        <f>IFERROR(__xludf.DUMMYFUNCTION("AI(""Get total fat content in grams per 100g for "" &amp; A85 &amp; "" from USDA. Return only the number."")"),"0.39")</f>
        <v>0.39</v>
      </c>
      <c r="F85" s="8" t="str">
        <f>IFERROR(__xludf.DUMMYFUNCTION("AI(""Write 2 to 5 lines about the benefits and harms of "" &amp; A85 &amp; "". Keep it concise and objective."")"),"Spinach is highly nutritious, low in calories, and rich in vitamins A, C, K, folate, and antioxidants, supporting bone and heart health. However, its high oxalate content can inhibit calcium and iron absorption and may increase the risk of kidney stones f"&amp;"or susceptible individuals. Additionally, the high amount of Vitamin K can interfere with blood-thinning medications like warfarin.")</f>
        <v>Spinach is highly nutritious, low in calories, and rich in vitamins A, C, K, folate, and antioxidants, supporting bone and heart health. However, its high oxalate content can inhibit calcium and iron absorption and may increase the risk of kidney stones for susceptible individuals. Additionally, the high amount of Vitamin K can interfere with blood-thinning medications like warfarin.</v>
      </c>
    </row>
    <row r="86" ht="22.5" customHeight="1">
      <c r="A86" s="12" t="s">
        <v>93</v>
      </c>
      <c r="B86" s="5" t="str">
        <f>IFERROR(__xludf.DUMMYFUNCTION("AI(""Get the calories per 100g for "" &amp; A86 &amp; "" from USDA database. Return only the numeric value (integer)."")"),"271")</f>
        <v>271</v>
      </c>
      <c r="C86" s="6" t="str">
        <f>IFERROR(__xludf.DUMMYFUNCTION("AI(""Get protein content in grams per 100g for "" &amp; A86 &amp; "" from USDA. Return only the number."")"),"25")</f>
        <v>25</v>
      </c>
      <c r="D86" s="6" t="str">
        <f>IFERROR(__xludf.DUMMYFUNCTION("AI(""Get carbohydrate content in grams per 100g for "" &amp; A86 &amp; "" from USDA. Return only the number. "")"),"0")</f>
        <v>0</v>
      </c>
      <c r="E86" s="6" t="str">
        <f>IFERROR(__xludf.DUMMYFUNCTION("AI(""Get total fat content in grams per 100g for "" &amp; A86 &amp; "" from USDA. Return only the number."")"),"5.0")</f>
        <v>5.0</v>
      </c>
      <c r="F86" s="8" t="str">
        <f>IFERROR(__xludf.DUMMYFUNCTION("AI(""Write 2 to 5 lines about the benefits and harms of "" &amp; A86 &amp; "". Keep it concise and objective."")"),"Steak, a type of red meat, is rich in high-quality protein, heme iron, zinc, and B vitamins, particularly B12. However, it can be high in saturated fat, which may raise LDL cholesterol and increase the risk of cardiovascular disease. Cooking at high tempe"&amp;"ratures can also create heterocyclic amines, which are linked to cancer risk. It is recommended to choose lean cuts and consume red meat in moderation.")</f>
        <v>Steak, a type of red meat, is rich in high-quality protein, heme iron, zinc, and B vitamins, particularly B12. However, it can be high in saturated fat, which may raise LDL cholesterol and increase the risk of cardiovascular disease. Cooking at high temperatures can also create heterocyclic amines, which are linked to cancer risk. It is recommended to choose lean cuts and consume red meat in moderation.</v>
      </c>
    </row>
    <row r="87" ht="22.5" customHeight="1">
      <c r="A87" s="12" t="s">
        <v>94</v>
      </c>
      <c r="B87" s="5" t="str">
        <f>IFERROR(__xludf.DUMMYFUNCTION("AI(""Get the calories per 100g for "" &amp; A87 &amp; "" from USDA database. Return only the numeric value (integer)."")"),"32")</f>
        <v>32</v>
      </c>
      <c r="C87" s="6" t="str">
        <f>IFERROR(__xludf.DUMMYFUNCTION("AI(""Get protein content in grams per 100g for "" &amp; A87 &amp; "" from USDA. Return only the number."")"),"0.67")</f>
        <v>0.67</v>
      </c>
      <c r="D87" s="6" t="str">
        <f>IFERROR(__xludf.DUMMYFUNCTION("AI(""Get carbohydrate content in grams per 100g for "" &amp; A87 &amp; "" from USDA. Return only the number. "")"),"7.7")</f>
        <v>7.7</v>
      </c>
      <c r="E87" s="6" t="str">
        <f>IFERROR(__xludf.DUMMYFUNCTION("AI(""Get total fat content in grams per 100g for "" &amp; A87 &amp; "" from USDA. Return only the number."")"),"0.3")</f>
        <v>0.3</v>
      </c>
      <c r="F87" s="8" t="str">
        <f>IFERROR(__xludf.DUMMYFUNCTION("AI(""Write 2 to 5 lines about the benefits and harms of "" &amp; A87 &amp; "". Keep it concise and objective."")"),"Strawberries are rich in antioxidants, Vitamin C, and fiber, which support heart health, aid in blood sugar control, and boost immune function. They may also improve cognitive function and have cancer-preventive properties. The primary harms are that they"&amp;" are a common allergen and may increase bleeding risk or interfere with blood-clotting medications, requiring caution before surgery.")</f>
        <v>Strawberries are rich in antioxidants, Vitamin C, and fiber, which support heart health, aid in blood sugar control, and boost immune function. They may also improve cognitive function and have cancer-preventive properties. The primary harms are that they are a common allergen and may increase bleeding risk or interfere with blood-clotting medications, requiring caution before surgery.</v>
      </c>
    </row>
    <row r="88" ht="22.5" customHeight="1">
      <c r="A88" s="12" t="s">
        <v>95</v>
      </c>
      <c r="B88" s="5" t="str">
        <f>IFERROR(__xludf.DUMMYFUNCTION("AI(""Get the calories per 100g for "" &amp; A88 &amp; "" from USDA database. Return only the numeric value (integer)."")"),"86")</f>
        <v>86</v>
      </c>
      <c r="C88" s="6" t="str">
        <f>IFERROR(__xludf.DUMMYFUNCTION("AI(""Get protein content in grams per 100g for "" &amp; A88 &amp; "" from USDA. Return only the number."")"),"1.6")</f>
        <v>1.6</v>
      </c>
      <c r="D88" s="6" t="str">
        <f>IFERROR(__xludf.DUMMYFUNCTION("AI(""Get carbohydrate content in grams per 100g for "" &amp; A88 &amp; "" from USDA. Return only the number. "")"),"21")</f>
        <v>21</v>
      </c>
      <c r="E88" s="6" t="str">
        <f>IFERROR(__xludf.DUMMYFUNCTION("AI(""Get total fat content in grams per 100g for "" &amp; A88 &amp; "" from USDA. Return only the number."")"),"0.1")</f>
        <v>0.1</v>
      </c>
      <c r="F88" s="8" t="str">
        <f>IFERROR(__xludf.DUMMYFUNCTION("AI(""Write 2 to 5 lines about the benefits and harms of "" &amp; A88 &amp; "". Keep it concise and objective."")"),"Sweet potatoes are a highly nutritious source of beta-carotene (Vitamin A) for vision and immunity, along with fiber for gut health and blood sugar regulation. They also contain antioxidants that may help reduce the risk of chronic diseases like cancer an"&amp;"d heart disease. A potential drawback is their relatively high oxalate content, which could increase the risk of kidney stones in susceptible individuals. Furthermore, the high potassium level warrants moderation for people with kidney problems or those t"&amp;"aking beta-blocker medications.")</f>
        <v>Sweet potatoes are a highly nutritious source of beta-carotene (Vitamin A) for vision and immunity, along with fiber for gut health and blood sugar regulation. They also contain antioxidants that may help reduce the risk of chronic diseases like cancer and heart disease. A potential drawback is their relatively high oxalate content, which could increase the risk of kidney stones in susceptible individuals. Furthermore, the high potassium level warrants moderation for people with kidney problems or those taking beta-blocker medications.</v>
      </c>
    </row>
    <row r="89" ht="22.5" customHeight="1">
      <c r="A89" s="12" t="s">
        <v>96</v>
      </c>
      <c r="B89" s="5" t="str">
        <f>IFERROR(__xludf.DUMMYFUNCTION("AI(""Get the calories per 100g for "" &amp; A89 &amp; "" from USDA database. Return only the numeric value (integer)."")"),"305")</f>
        <v>305</v>
      </c>
      <c r="C89" s="6" t="str">
        <f>IFERROR(__xludf.DUMMYFUNCTION("AI(""Get protein content in grams per 100g for "" &amp; A89 &amp; "" from USDA. Return only the number."")"),"4.2")</f>
        <v>4.2</v>
      </c>
      <c r="D89" s="6" t="str">
        <f>IFERROR(__xludf.DUMMYFUNCTION("AI(""Get carbohydrate content in grams per 100g for "" &amp; A89 &amp; "" from USDA. Return only the number. "")"),"29.2")</f>
        <v>29.2</v>
      </c>
      <c r="E89" s="6" t="str">
        <f>IFERROR(__xludf.DUMMYFUNCTION("AI(""Get total fat content in grams per 100g for "" &amp; A89 &amp; "" from USDA. Return only the number."")"),"19.4")</f>
        <v>19.4</v>
      </c>
      <c r="F89" s="8" t="str">
        <f>IFERROR(__xludf.DUMMYFUNCTION("AI(""Write 2 to 5 lines about the benefits and harms of "" &amp; A89 &amp; "". Keep it concise and objective."")"),"Tiramisu offers quick energy from its carbs and small amounts of protein and calcium from mascarpone cheese. However, traditional recipes are high in sugar, fat, and calories, which can contribute to weight gain and heart risks if consumed excessively. Th"&amp;"ere is also a potential risk of Salmonella food poisoning if unpasteurized raw eggs are used in the preparation.")</f>
        <v>Tiramisu offers quick energy from its carbs and small amounts of protein and calcium from mascarpone cheese. However, traditional recipes are high in sugar, fat, and calories, which can contribute to weight gain and heart risks if consumed excessively. There is also a potential risk of Salmonella food poisoning if unpasteurized raw eggs are used in the preparation.</v>
      </c>
    </row>
    <row r="90" ht="22.5" customHeight="1">
      <c r="A90" s="12" t="s">
        <v>97</v>
      </c>
      <c r="B90" s="5" t="str">
        <f>IFERROR(__xludf.DUMMYFUNCTION("AI(""Get the calories per 100g for "" &amp; A90 &amp; "" from USDA database. Return only the numeric value (integer)."")"),"290")</f>
        <v>290</v>
      </c>
      <c r="C90" s="6" t="str">
        <f>IFERROR(__xludf.DUMMYFUNCTION("AI(""Get protein content in grams per 100g for "" &amp; A90 &amp; "" from USDA. Return only the number."")"),"9")</f>
        <v>9</v>
      </c>
      <c r="D90" s="6" t="str">
        <f>IFERROR(__xludf.DUMMYFUNCTION("AI(""Get carbohydrate content in grams per 100g for "" &amp; A90 &amp; "" from USDA. Return only the number. "")"),"55")</f>
        <v>55</v>
      </c>
      <c r="E90" s="6" t="str">
        <f>IFERROR(__xludf.DUMMYFUNCTION("AI(""Get total fat content in grams per 100g for "" &amp; A90 &amp; "" from USDA. Return only the number."")"),"4")</f>
        <v>4</v>
      </c>
      <c r="F90" s="8" t="str">
        <f>IFERROR(__xludf.DUMMYFUNCTION("AI(""Write 2 to 5 lines about the benefits and harms of "" &amp; A90 &amp; "". Keep it concise and objective."")"),"Toast is a source of carbohydrates for energy and may be easier to digest, with whole-grain varieties offering fiber and nutrients. Toasting can slightly lower the glycemic index compared to plain bread. The main harm comes from refined white toast, which"&amp;" can spike blood sugar, and from consuming heavily burnt toast, which contains the potential carcinogen acrylamide. Its overall health depends on the bread type (whole grain is better) and the choice of low-sugar, high-protein toppings.")</f>
        <v>Toast is a source of carbohydrates for energy and may be easier to digest, with whole-grain varieties offering fiber and nutrients. Toasting can slightly lower the glycemic index compared to plain bread. The main harm comes from refined white toast, which can spike blood sugar, and from consuming heavily burnt toast, which contains the potential carcinogen acrylamide. Its overall health depends on the bread type (whole grain is better) and the choice of low-sugar, high-protein toppings.</v>
      </c>
    </row>
    <row r="91" ht="22.5" customHeight="1">
      <c r="A91" s="12" t="s">
        <v>98</v>
      </c>
      <c r="B91" s="5" t="str">
        <f>IFERROR(__xludf.DUMMYFUNCTION("AI(""Get the calories per 100g for "" &amp; A91 &amp; "" from USDA database. Return only the numeric value (integer)."")"),"18")</f>
        <v>18</v>
      </c>
      <c r="C91" s="6" t="str">
        <f>IFERROR(__xludf.DUMMYFUNCTION("AI(""Get protein content in grams per 100g for "" &amp; A91 &amp; "" from USDA. Return only the number."")"),"0.88")</f>
        <v>0.88</v>
      </c>
      <c r="D91" s="6" t="str">
        <f>IFERROR(__xludf.DUMMYFUNCTION("AI(""Get carbohydrate content in grams per 100g for "" &amp; A91 &amp; "" from USDA. Return only the number. "")"),"4.03")</f>
        <v>4.03</v>
      </c>
      <c r="E91" s="6" t="str">
        <f>IFERROR(__xludf.DUMMYFUNCTION("AI(""Get total fat content in grams per 100g for "" &amp; A91 &amp; "" from USDA. Return only the number."")"),"0.208")</f>
        <v>0.208</v>
      </c>
      <c r="F91" s="8" t="str">
        <f>IFERROR(__xludf.DUMMYFUNCTION("AI(""Write 2 to 5 lines about the benefits and harms of "" &amp; A91 &amp; "". Keep it concise and objective."")"),"Tomatoes are rich in antioxidants, especially lycopene, which supports heart health, may help reduce the risk of certain cancers, and is a good source of vitamins C, K, potassium, and fiber. Due to their high acidity, tomatoes may worsen symptoms of acid "&amp;"reflux or heartburn for sensitive individuals. Consuming very large amounts can cause temporary skin discoloration (lycopenemia) or digestive upset, and the leaves or green tomatoes are potentially toxic in high doses.")</f>
        <v>Tomatoes are rich in antioxidants, especially lycopene, which supports heart health, may help reduce the risk of certain cancers, and is a good source of vitamins C, K, potassium, and fiber. Due to their high acidity, tomatoes may worsen symptoms of acid reflux or heartburn for sensitive individuals. Consuming very large amounts can cause temporary skin discoloration (lycopenemia) or digestive upset, and the leaves or green tomatoes are potentially toxic in high doses.</v>
      </c>
    </row>
    <row r="92" ht="22.5" customHeight="1">
      <c r="A92" s="12" t="s">
        <v>99</v>
      </c>
      <c r="B92" s="5" t="str">
        <f>IFERROR(__xludf.DUMMYFUNCTION("AI(""Get the calories per 100g for "" &amp; A92 &amp; "" from USDA database. Return only the numeric value (integer)."")"),"291")</f>
        <v>291</v>
      </c>
      <c r="C92" s="6" t="str">
        <f>IFERROR(__xludf.DUMMYFUNCTION("AI(""Get protein content in grams per 100g for "" &amp; A92 &amp; "" from USDA. Return only the number."")"),"7.9")</f>
        <v>7.9</v>
      </c>
      <c r="D92" s="6" t="str">
        <f>IFERROR(__xludf.DUMMYFUNCTION("AI(""Get carbohydrate content in grams per 100g for "" &amp; A92 &amp; "" from USDA. Return only the number. "")"),"58.1")</f>
        <v>58.1</v>
      </c>
      <c r="E92" s="6" t="str">
        <f>IFERROR(__xludf.DUMMYFUNCTION("AI(""Get total fat content in grams per 100g for "" &amp; A92 &amp; "" from USDA. Return only the number."")"),"14")</f>
        <v>14</v>
      </c>
      <c r="F92" s="8" t="str">
        <f>IFERROR(__xludf.DUMMYFUNCTION("AI(""Write 2 to 5 lines about the benefits and harms of "" &amp; A92 &amp; "". Keep it concise and objective."")"),"Waffles provide quick energy from carbohydrates and can be a source of fiber and essential nutrients like iron and B vitamins when made with whole grains or enriched flour. Conversely, many standard and packaged varieties are high in refined flour, added "&amp;"sugars, and fat, which can lead to blood sugar spikes and are generally low in nutrient density.")</f>
        <v>Waffles provide quick energy from carbohydrates and can be a source of fiber and essential nutrients like iron and B vitamins when made with whole grains or enriched flour. Conversely, many standard and packaged varieties are high in refined flour, added sugars, and fat, which can lead to blood sugar spikes and are generally low in nutrient density.</v>
      </c>
    </row>
    <row r="93" ht="22.5" customHeight="1">
      <c r="A93" s="12" t="s">
        <v>100</v>
      </c>
      <c r="B93" s="5" t="str">
        <f>IFERROR(__xludf.DUMMYFUNCTION("AI(""Get the calories per 100g for "" &amp; A93 &amp; "" from USDA database. Return only the numeric value (integer)."")"),"30")</f>
        <v>30</v>
      </c>
      <c r="C93" s="6" t="str">
        <f>IFERROR(__xludf.DUMMYFUNCTION("AI(""Get protein content in grams per 100g for "" &amp; A93 &amp; "" from USDA. Return only the number."")"),"0.6")</f>
        <v>0.6</v>
      </c>
      <c r="D93" s="6" t="str">
        <f>IFERROR(__xludf.DUMMYFUNCTION("AI(""Get carbohydrate content in grams per 100g for "" &amp; A93 &amp; "" from USDA. Return only the number. "")"),"7.6")</f>
        <v>7.6</v>
      </c>
      <c r="E93" s="6" t="str">
        <f>IFERROR(__xludf.DUMMYFUNCTION("AI(""Get total fat content in grams per 100g for "" &amp; A93 &amp; "" from USDA. Return only the number."")"),"0.2")</f>
        <v>0.2</v>
      </c>
      <c r="F93" s="8" t="str">
        <f>IFERROR(__xludf.DUMMYFUNCTION("AI(""Write 2 to 5 lines about the benefits and harms of "" &amp; A93 &amp; "". Keep it concise and objective."")"),"Watermelon is highly hydrating (92% water) and rich in beneficial nutrients like Vitamin C, Vitamin A, and the antioxidant lycopene, which supports heart and eye health. It is also a source of citrulline, which aids muscle recovery. However, eating large "&amp;"amounts may cause blood sugar spikes for people with diabetes. Excessive consumption can also lead to digestive discomfort (bloating or diarrhea) in individuals sensitive to its high FODMAP (fructose) content.")</f>
        <v>Watermelon is highly hydrating (92% water) and rich in beneficial nutrients like Vitamin C, Vitamin A, and the antioxidant lycopene, which supports heart and eye health. It is also a source of citrulline, which aids muscle recovery. However, eating large amounts may cause blood sugar spikes for people with diabetes. Excessive consumption can also lead to digestive discomfort (bloating or diarrhea) in individuals sensitive to its high FODMAP (fructose) content.</v>
      </c>
    </row>
    <row r="94" ht="22.5" customHeight="1">
      <c r="A94" s="12" t="s">
        <v>101</v>
      </c>
      <c r="B94" s="5" t="str">
        <f>IFERROR(__xludf.DUMMYFUNCTION("AI(""Get the calories per 100g for "" &amp; A94 &amp; "" from USDA database. Return only the numeric value (integer)."")"),"17")</f>
        <v>17</v>
      </c>
      <c r="C94" s="6" t="str">
        <f>IFERROR(__xludf.DUMMYFUNCTION("AI(""Get protein content in grams per 100g for "" &amp; A94 &amp; "" from USDA. Return only the number."")"),"1.2")</f>
        <v>1.2</v>
      </c>
      <c r="D94" s="6" t="str">
        <f>IFERROR(__xludf.DUMMYFUNCTION("AI(""Get carbohydrate content in grams per 100g for "" &amp; A94 &amp; "" from USDA. Return only the number. "")"),"3.1")</f>
        <v>3.1</v>
      </c>
      <c r="E94" s="6" t="str">
        <f>IFERROR(__xludf.DUMMYFUNCTION("AI(""Get total fat content in grams per 100g for "" &amp; A94 &amp; "" from USDA. Return only the number."")"),"0.32")</f>
        <v>0.32</v>
      </c>
      <c r="F94" s="8" t="str">
        <f>IFERROR(__xludf.DUMMYFUNCTION("AI(""Write 2 to 5 lines about the benefits and harms of "" &amp; A94 &amp; "". Keep it concise and objective."")"),"Zucchini is a nutrient-rich food, low in calories and high in water, fiber, and antioxidants, which support digestion, vision, and heart health. Its fiber and low-carb profile can also aid in blood sugar control and weight management. Potential harms incl"&amp;"ude digestive discomfort like gas and bloating if consumed in excess, and a risk of allergic reactions. Bitter zucchini should be avoided as it may contain cucurbitacin, which can cause digestive upset.")</f>
        <v>Zucchini is a nutrient-rich food, low in calories and high in water, fiber, and antioxidants, which support digestion, vision, and heart health. Its fiber and low-carb profile can also aid in blood sugar control and weight management. Potential harms include digestive discomfort like gas and bloating if consumed in excess, and a risk of allergic reactions. Bitter zucchini should be avoided as it may contain cucurbitacin, which can cause digestive upset.</v>
      </c>
    </row>
    <row r="95" ht="22.5" customHeight="1">
      <c r="A95" s="12" t="s">
        <v>102</v>
      </c>
      <c r="B95" s="5" t="str">
        <f>IFERROR(__xludf.DUMMYFUNCTION("AI(""Get the calories per 100g for "" &amp; A95 &amp; "" from USDA database. Return only the numeric value (integer)."")"),"428")</f>
        <v>428</v>
      </c>
      <c r="C95" s="6" t="str">
        <f>IFERROR(__xludf.DUMMYFUNCTION("AI(""Get protein content in grams per 100g for "" &amp; A95 &amp; "" from USDA. Return only the number."")"),"6.6")</f>
        <v>6.6</v>
      </c>
      <c r="D95" s="6" t="str">
        <f>IFERROR(__xludf.DUMMYFUNCTION("AI(""Get carbohydrate content in grams per 100g for "" &amp; A95 &amp; "" from USDA. Return only the number. "")"),"37.8")</f>
        <v>37.8</v>
      </c>
      <c r="E95" s="6" t="str">
        <f>IFERROR(__xludf.DUMMYFUNCTION("AI(""Get total fat content in grams per 100g for "" &amp; A95 &amp; "" from USDA. Return only the number."")"),"24")</f>
        <v>24</v>
      </c>
      <c r="F95" s="7" t="str">
        <f>IFERROR(__xludf.DUMMYFUNCTION("AI(""Write 2 to 5 lines about the benefits and harms of "" &amp; A95 &amp; "". Keep it concise and objective."")"),"Baklava provides nutrients like protein, fiber, and healthy unsaturated fats from nuts, which support heart and brain health and offer an energy boost. Objectively, it is a high-calorie, sugar-rich dessert. Due to its high sugar and refined carbohydrate c"&amp;"ontent, excessive consumption can cause blood sugar spikes and contribute to weight gain. It must be consumed in moderation as an occasional treat.")</f>
        <v>Baklava provides nutrients like protein, fiber, and healthy unsaturated fats from nuts, which support heart and brain health and offer an energy boost. Objectively, it is a high-calorie, sugar-rich dessert. Due to its high sugar and refined carbohydrate content, excessive consumption can cause blood sugar spikes and contribute to weight gain. It must be consumed in moderation as an occasional treat.</v>
      </c>
    </row>
    <row r="96" ht="22.5" customHeight="1">
      <c r="A96" s="12" t="s">
        <v>103</v>
      </c>
      <c r="B96" s="5" t="str">
        <f>IFERROR(__xludf.DUMMYFUNCTION("AI(""Get the calories per 100g for "" &amp; A96 &amp; "" from USDA database. Return only the numeric value (integer)."")"),"110")</f>
        <v>110</v>
      </c>
      <c r="C96" s="6" t="str">
        <f>IFERROR(__xludf.DUMMYFUNCTION("AI(""Get protein content in grams per 100g for "" &amp; A96 &amp; "" from USDA. Return only the number."")"),"8.7")</f>
        <v>8.7</v>
      </c>
      <c r="D96" s="6" t="str">
        <f>IFERROR(__xludf.DUMMYFUNCTION("AI(""Get carbohydrate content in grams per 100g for "" &amp; A96 &amp; "" from USDA. Return only the number. "")"),"20")</f>
        <v>20</v>
      </c>
      <c r="E96" s="6" t="str">
        <f>IFERROR(__xludf.DUMMYFUNCTION("AI(""Get total fat content in grams per 100g for "" &amp; A96 &amp; "" from USDA. Return only the number."")"),"0.4")</f>
        <v>0.4</v>
      </c>
      <c r="F96" s="8" t="str">
        <f>IFERROR(__xludf.DUMMYFUNCTION("AI(""Write 2 to 5 lines about the benefits and harms of "" &amp; A96 &amp; "". Keep it concise and objective."")"),"Beans are a nutritional powerhouse, rich in fiber, protein, and essential micronutrients, offering benefits for heart health, blood sugar stability, and weight management. The main drawbacks are that the complex carbohydrates can cause flatulence and bloa"&amp;"ting. Importantly, beans must be thoroughly cooked to destroy natural toxins like phytohaemagglutinin, as raw or undercooked beans can be poisonous.")</f>
        <v>Beans are a nutritional powerhouse, rich in fiber, protein, and essential micronutrients, offering benefits for heart health, blood sugar stability, and weight management. The main drawbacks are that the complex carbohydrates can cause flatulence and bloating. Importantly, beans must be thoroughly cooked to destroy natural toxins like phytohaemagglutinin, as raw or undercooked beans can be poisonous.</v>
      </c>
    </row>
    <row r="97" ht="22.5" customHeight="1">
      <c r="A97" s="12" t="s">
        <v>104</v>
      </c>
      <c r="B97" s="5" t="str">
        <f>IFERROR(__xludf.DUMMYFUNCTION("AI(""Get the calories per 100g for "" &amp; A97 &amp; "" from USDA database. Return only the numeric value (integer)."")"),"43")</f>
        <v>43</v>
      </c>
      <c r="C97" s="6" t="str">
        <f>IFERROR(__xludf.DUMMYFUNCTION("AI(""Get protein content in grams per 100g for "" &amp; A97 &amp; "" from USDA. Return only the number."")"),"1.6")</f>
        <v>1.6</v>
      </c>
      <c r="D97" s="6" t="str">
        <f>IFERROR(__xludf.DUMMYFUNCTION("AI(""Get carbohydrate content in grams per 100g for "" &amp; A97 &amp; "" from USDA. Return only the number. "")"),"9.6")</f>
        <v>9.6</v>
      </c>
      <c r="E97" s="6" t="str">
        <f>IFERROR(__xludf.DUMMYFUNCTION("AI(""Get total fat content in grams per 100g for "" &amp; A97 &amp; "" from USDA. Return only the number."")"),"0.17")</f>
        <v>0.17</v>
      </c>
      <c r="F97" s="8" t="str">
        <f>IFERROR(__xludf.DUMMYFUNCTION("AI(""Write 2 to 5 lines about the benefits and harms of "" &amp; A97 &amp; "". Keep it concise and objective."")"),"Beets are rich in nutrients, fiber, and antioxidants, with nitrates that convert to nitric oxide, which helps lower blood pressure, improve blood flow, and may enhance athletic performance. They also support heart, brain, and liver health. However, beets "&amp;"are high in oxalates, which can increase the risk of kidney stones, and may cause mild digestive upset in large quantities. A harmless side effect is beeturia, the pink or red discoloration of urine or stool.")</f>
        <v>Beets are rich in nutrients, fiber, and antioxidants, with nitrates that convert to nitric oxide, which helps lower blood pressure, improve blood flow, and may enhance athletic performance. They also support heart, brain, and liver health. However, beets are high in oxalates, which can increase the risk of kidney stones, and may cause mild digestive upset in large quantities. A harmless side effect is beeturia, the pink or red discoloration of urine or stool.</v>
      </c>
    </row>
    <row r="98" ht="22.5" customHeight="1">
      <c r="A98" s="12" t="s">
        <v>105</v>
      </c>
      <c r="B98" s="5" t="str">
        <f>IFERROR(__xludf.DUMMYFUNCTION("AI(""Get the calories per 100g for "" &amp; A98 &amp; "" from USDA database. Return only the numeric value (integer)."")"),"120")</f>
        <v>120</v>
      </c>
      <c r="C98" s="6" t="str">
        <f>IFERROR(__xludf.DUMMYFUNCTION("AI(""Get protein content in grams per 100g for "" &amp; A98 &amp; "" from USDA. Return only the number."")"),"20.0")</f>
        <v>20.0</v>
      </c>
      <c r="D98" s="6" t="str">
        <f>IFERROR(__xludf.DUMMYFUNCTION("AI(""Get carbohydrate content in grams per 100g for "" &amp; A98 &amp; "" from USDA. Return only the number. "")"),"0")</f>
        <v>0</v>
      </c>
      <c r="E98" s="6" t="str">
        <f>IFERROR(__xludf.DUMMYFUNCTION("AI(""Get total fat content in grams per 100g for "" &amp; A98 &amp; "" from USDA. Return only the number."")"),"3.0")</f>
        <v>3.0</v>
      </c>
      <c r="F98" s="8" t="str">
        <f>IFERROR(__xludf.DUMMYFUNCTION("AI(""Write 2 to 5 lines about the benefits and harms of "" &amp; A98 &amp; "". Keep it concise and objective."")"),"Sashimi offers excellent high-quality protein and is rich in heart-healthy omega-3 fatty acids, with a minimal calorie and carb count. The main risk comes from consuming raw fish, which carries the potential for parasitic or bacterial contamination if not"&amp;" handled properly. Consumption of high-mercury species should also be limited.")</f>
        <v>Sashimi offers excellent high-quality protein and is rich in heart-healthy omega-3 fatty acids, with a minimal calorie and carb count. The main risk comes from consuming raw fish, which carries the potential for parasitic or bacterial contamination if not handled properly. Consumption of high-mercury species should also be limited.</v>
      </c>
    </row>
    <row r="99" ht="22.5" customHeight="1">
      <c r="A99" s="12" t="s">
        <v>106</v>
      </c>
      <c r="B99" s="5" t="str">
        <f>IFERROR(__xludf.DUMMYFUNCTION("AI(""Get the calories per 100g for "" &amp; A99 &amp; "" from USDA database. Return only the numeric value (integer)."")"),"333")</f>
        <v>333</v>
      </c>
      <c r="C99" s="6" t="str">
        <f>IFERROR(__xludf.DUMMYFUNCTION("AI(""Get protein content in grams per 100g for "" &amp; A99 &amp; "" from USDA. Return only the number."")"),"15.4")</f>
        <v>15.4</v>
      </c>
      <c r="D99" s="6" t="str">
        <f>IFERROR(__xludf.DUMMYFUNCTION("AI(""Get carbohydrate content in grams per 100g for "" &amp; A99 &amp; "" from USDA. Return only the number. "")"),"1.1")</f>
        <v>1.1</v>
      </c>
      <c r="E99" s="6" t="str">
        <f>IFERROR(__xludf.DUMMYFUNCTION("AI(""Get total fat content in grams per 100g for "" &amp; A99 &amp; "" from USDA. Return only the number."")"),"18.5")</f>
        <v>18.5</v>
      </c>
      <c r="F99" s="8" t="str">
        <f>IFERROR(__xludf.DUMMYFUNCTION("AI(""Write 2 to 5 lines about the benefits and harms of "" &amp; A99 &amp; "". Keep it concise and objective."")"),"Sausages are a source of protein and essential nutrients like B vitamins, iron, and selenium. However, most are classified as processed meat (a Group 1 carcinogen) by the WHO, strongly linked to an increased risk of colorectal cancer due to compounds like"&amp;" nitrites and N-nitroso compounds. They are typically high in saturated fat and sodium, contributing to cardiovascular disease risk. Health experts recommend limiting consumption to minimize these risks.")</f>
        <v>Sausages are a source of protein and essential nutrients like B vitamins, iron, and selenium. However, most are classified as processed meat (a Group 1 carcinogen) by the WHO, strongly linked to an increased risk of colorectal cancer due to compounds like nitrites and N-nitroso compounds. They are typically high in saturated fat and sodium, contributing to cardiovascular disease risk. Health experts recommend limiting consumption to minimize these risks.</v>
      </c>
    </row>
    <row r="100" ht="22.5" customHeight="1">
      <c r="A100" s="12" t="s">
        <v>107</v>
      </c>
      <c r="B100" s="5" t="str">
        <f>IFERROR(__xludf.DUMMYFUNCTION("AI(""Get the calories per 100g for "" &amp; A100 &amp; "" from USDA database. Return only the numeric value (integer)."")"),"150")</f>
        <v>150</v>
      </c>
      <c r="C100" s="10" t="str">
        <f>IFERROR(__xludf.DUMMYFUNCTION("AI(""Get protein content in grams per 100g for "" &amp; A100 &amp; "" from USDA. Return only the number."")"),"2.92")</f>
        <v>2.92</v>
      </c>
      <c r="D100" s="10" t="str">
        <f>IFERROR(__xludf.DUMMYFUNCTION("AI(""Get carbohydrate content in grams per 100g for "" &amp; A100 &amp; "" from USDA. Return only the number. "")"),"18.4")</f>
        <v>18.4</v>
      </c>
      <c r="E100" s="10" t="str">
        <f>IFERROR(__xludf.DUMMYFUNCTION("AI(""Get total fat content in grams per 100g for "" &amp; A100 &amp; "" from USDA. Return only the number."")"),"1.4")</f>
        <v>1.4</v>
      </c>
      <c r="F100" s="8" t="str">
        <f>IFERROR(__xludf.DUMMYFUNCTION("AI(""Write 2 to 5 lines about the benefits and harms of "" &amp; A100 &amp; "". Keep it concise and objective."")"),"Sushi can be a nutritious meal, providing heart-healthy omega-3 fatty acids, lean protein from fish, and iodine from seaweed (nori). However, many rolls are high in refined carbohydrates and added sugar from the rice, as well as high sodium, especially wi"&amp;"th soy sauce use. Consuming raw fish carries a risk of bacterial, viral, or parasitic contamination if not prepared under strict food safety standards. Specialty rolls with tempura or creamy sauces significantly increase fat and calorie content.")</f>
        <v>Sushi can be a nutritious meal, providing heart-healthy omega-3 fatty acids, lean protein from fish, and iodine from seaweed (nori). However, many rolls are high in refined carbohydrates and added sugar from the rice, as well as high sodium, especially with soy sauce use. Consuming raw fish carries a risk of bacterial, viral, or parasitic contamination if not prepared under strict food safety standards. Specialty rolls with tempura or creamy sauces significantly increase fat and calorie content.</v>
      </c>
    </row>
    <row r="101">
      <c r="F101" s="13"/>
    </row>
    <row r="102">
      <c r="F102" s="13"/>
    </row>
    <row r="103">
      <c r="F103" s="13"/>
    </row>
    <row r="104">
      <c r="F104" s="13"/>
    </row>
    <row r="105">
      <c r="F105" s="13"/>
    </row>
    <row r="106">
      <c r="F106" s="13"/>
    </row>
    <row r="107">
      <c r="F107" s="13"/>
    </row>
    <row r="108">
      <c r="F108" s="13"/>
    </row>
    <row r="109">
      <c r="F109" s="13"/>
    </row>
    <row r="110">
      <c r="F110" s="13"/>
    </row>
    <row r="111">
      <c r="F111" s="13"/>
    </row>
    <row r="112">
      <c r="F112" s="13"/>
    </row>
    <row r="113">
      <c r="F113" s="13"/>
    </row>
    <row r="114">
      <c r="F114" s="13"/>
    </row>
    <row r="115">
      <c r="F115" s="13"/>
    </row>
    <row r="116">
      <c r="F116" s="13"/>
    </row>
    <row r="117">
      <c r="F117" s="13"/>
    </row>
    <row r="118">
      <c r="F118" s="13"/>
    </row>
    <row r="119">
      <c r="F119" s="13"/>
    </row>
    <row r="120">
      <c r="F120" s="13"/>
    </row>
    <row r="121">
      <c r="F121" s="13"/>
    </row>
    <row r="122">
      <c r="F122" s="13"/>
    </row>
    <row r="123">
      <c r="B123" s="14"/>
      <c r="F123" s="13"/>
    </row>
    <row r="124">
      <c r="B124" s="14"/>
      <c r="F124" s="13"/>
    </row>
    <row r="125">
      <c r="B125" s="14"/>
      <c r="F125" s="13"/>
    </row>
    <row r="126">
      <c r="B126" s="14"/>
      <c r="F126" s="13"/>
    </row>
    <row r="127">
      <c r="B127" s="14"/>
      <c r="F127" s="13"/>
    </row>
    <row r="128">
      <c r="B128" s="14"/>
      <c r="F128" s="13"/>
    </row>
    <row r="129">
      <c r="B129" s="14"/>
      <c r="F129" s="13"/>
    </row>
    <row r="130">
      <c r="B130" s="14"/>
      <c r="F130" s="13"/>
    </row>
    <row r="131">
      <c r="B131" s="14"/>
      <c r="F131" s="13"/>
    </row>
    <row r="132">
      <c r="B132" s="14"/>
      <c r="F132" s="13"/>
    </row>
    <row r="133">
      <c r="B133" s="14"/>
      <c r="F133" s="13"/>
    </row>
    <row r="134">
      <c r="B134" s="14"/>
      <c r="F134" s="13"/>
    </row>
    <row r="135">
      <c r="B135" s="14"/>
      <c r="F135" s="13"/>
    </row>
    <row r="136">
      <c r="B136" s="14"/>
      <c r="F136" s="13"/>
    </row>
    <row r="137">
      <c r="B137" s="14"/>
      <c r="F137" s="13"/>
    </row>
    <row r="138">
      <c r="B138" s="14"/>
      <c r="F138" s="13"/>
    </row>
    <row r="139">
      <c r="B139" s="14"/>
      <c r="F139" s="13"/>
    </row>
    <row r="140">
      <c r="B140" s="14"/>
      <c r="F140" s="13"/>
    </row>
    <row r="141">
      <c r="B141" s="14"/>
      <c r="F141" s="13"/>
    </row>
    <row r="142">
      <c r="B142" s="14"/>
      <c r="F142" s="13"/>
    </row>
    <row r="143">
      <c r="B143" s="14"/>
      <c r="F143" s="13"/>
    </row>
    <row r="144">
      <c r="B144" s="14"/>
      <c r="F144" s="13"/>
    </row>
    <row r="145">
      <c r="B145" s="14"/>
      <c r="F145" s="13"/>
    </row>
    <row r="146">
      <c r="B146" s="14"/>
      <c r="F146" s="13"/>
    </row>
    <row r="147">
      <c r="B147" s="14"/>
      <c r="F147" s="13"/>
    </row>
    <row r="148">
      <c r="B148" s="14"/>
      <c r="F148" s="13"/>
    </row>
    <row r="149">
      <c r="B149" s="14"/>
      <c r="F149" s="13"/>
    </row>
    <row r="150">
      <c r="B150" s="14"/>
      <c r="F150" s="13"/>
    </row>
    <row r="151">
      <c r="B151" s="14"/>
      <c r="F151" s="13"/>
    </row>
    <row r="152">
      <c r="B152" s="14"/>
      <c r="F152" s="13"/>
    </row>
    <row r="153">
      <c r="B153" s="14"/>
      <c r="F153" s="13"/>
    </row>
    <row r="154">
      <c r="B154" s="14"/>
      <c r="F154" s="13"/>
    </row>
    <row r="155">
      <c r="B155" s="14"/>
      <c r="F155" s="13"/>
    </row>
    <row r="156">
      <c r="B156" s="14"/>
      <c r="F156" s="13"/>
    </row>
    <row r="157">
      <c r="B157" s="14"/>
      <c r="F157" s="13"/>
    </row>
    <row r="158">
      <c r="B158" s="14"/>
      <c r="F158" s="13"/>
    </row>
    <row r="159">
      <c r="B159" s="14"/>
      <c r="F159" s="13"/>
    </row>
    <row r="160">
      <c r="B160" s="14"/>
      <c r="F160" s="13"/>
    </row>
    <row r="161">
      <c r="B161" s="14"/>
      <c r="F161" s="13"/>
    </row>
    <row r="162">
      <c r="B162" s="14"/>
      <c r="F162" s="13"/>
    </row>
    <row r="163">
      <c r="B163" s="14"/>
      <c r="F163" s="13"/>
    </row>
    <row r="164">
      <c r="B164" s="14"/>
      <c r="F164" s="13"/>
    </row>
    <row r="165">
      <c r="B165" s="14"/>
      <c r="F165" s="13"/>
    </row>
    <row r="166">
      <c r="B166" s="14"/>
      <c r="F166" s="13"/>
    </row>
    <row r="167">
      <c r="B167" s="14"/>
      <c r="F167" s="13"/>
    </row>
    <row r="168">
      <c r="B168" s="14"/>
      <c r="F168" s="13"/>
    </row>
    <row r="169">
      <c r="B169" s="14"/>
      <c r="F169" s="13"/>
    </row>
    <row r="170">
      <c r="B170" s="14"/>
      <c r="F170" s="13"/>
    </row>
    <row r="171">
      <c r="B171" s="14"/>
      <c r="F171" s="13"/>
    </row>
    <row r="172">
      <c r="B172" s="14"/>
      <c r="F172" s="13"/>
    </row>
    <row r="173">
      <c r="B173" s="14"/>
      <c r="F173" s="13"/>
    </row>
    <row r="174">
      <c r="B174" s="14"/>
      <c r="F174" s="13"/>
    </row>
    <row r="175">
      <c r="B175" s="14"/>
      <c r="F175" s="13"/>
    </row>
    <row r="176">
      <c r="B176" s="14"/>
      <c r="F176" s="13"/>
    </row>
    <row r="177">
      <c r="B177" s="14"/>
      <c r="F177" s="13"/>
    </row>
    <row r="178">
      <c r="B178" s="14"/>
      <c r="F178" s="13"/>
    </row>
    <row r="179">
      <c r="B179" s="14"/>
      <c r="F179" s="13"/>
    </row>
    <row r="180">
      <c r="B180" s="14"/>
      <c r="F180" s="13"/>
    </row>
    <row r="181">
      <c r="B181" s="14"/>
      <c r="F181" s="13"/>
    </row>
    <row r="182">
      <c r="B182" s="14"/>
      <c r="F182" s="13"/>
    </row>
    <row r="183">
      <c r="B183" s="14"/>
      <c r="F183" s="13"/>
    </row>
    <row r="184">
      <c r="B184" s="14"/>
      <c r="F184" s="13"/>
    </row>
    <row r="185">
      <c r="B185" s="14"/>
      <c r="F185" s="13"/>
    </row>
    <row r="186">
      <c r="B186" s="14"/>
      <c r="F186" s="13"/>
    </row>
    <row r="187">
      <c r="B187" s="14"/>
      <c r="F187" s="13"/>
    </row>
    <row r="188">
      <c r="B188" s="14"/>
      <c r="F188" s="13"/>
    </row>
    <row r="189">
      <c r="B189" s="14"/>
      <c r="F189" s="13"/>
    </row>
    <row r="190">
      <c r="B190" s="14"/>
      <c r="F190" s="13"/>
    </row>
    <row r="191">
      <c r="B191" s="14"/>
      <c r="F191" s="13"/>
    </row>
    <row r="192">
      <c r="B192" s="14"/>
      <c r="F192" s="13"/>
    </row>
    <row r="193">
      <c r="B193" s="14"/>
      <c r="F193" s="13"/>
    </row>
    <row r="194">
      <c r="B194" s="14"/>
      <c r="F194" s="13"/>
    </row>
    <row r="195">
      <c r="B195" s="14"/>
      <c r="F195" s="13"/>
    </row>
    <row r="196">
      <c r="B196" s="14"/>
      <c r="F196" s="13"/>
    </row>
    <row r="197">
      <c r="B197" s="14"/>
      <c r="F197" s="13"/>
    </row>
    <row r="198">
      <c r="B198" s="14"/>
      <c r="F198" s="13"/>
    </row>
    <row r="199">
      <c r="B199" s="14"/>
      <c r="F199" s="13"/>
    </row>
    <row r="200">
      <c r="B200" s="14"/>
      <c r="F200" s="13"/>
    </row>
    <row r="201">
      <c r="B201" s="14"/>
      <c r="F201" s="13"/>
    </row>
    <row r="202">
      <c r="B202" s="14"/>
      <c r="F202" s="13"/>
    </row>
    <row r="203">
      <c r="B203" s="14"/>
      <c r="F203" s="13"/>
    </row>
    <row r="204">
      <c r="B204" s="14"/>
      <c r="F204" s="13"/>
    </row>
    <row r="205">
      <c r="B205" s="14"/>
      <c r="F205" s="13"/>
    </row>
    <row r="206">
      <c r="B206" s="14"/>
      <c r="F206" s="13"/>
    </row>
    <row r="207">
      <c r="B207" s="14"/>
      <c r="F207" s="13"/>
    </row>
    <row r="208">
      <c r="B208" s="14"/>
      <c r="F208" s="13"/>
    </row>
    <row r="209">
      <c r="B209" s="14"/>
      <c r="F209" s="13"/>
    </row>
    <row r="210">
      <c r="B210" s="14"/>
      <c r="F210" s="13"/>
    </row>
    <row r="211">
      <c r="B211" s="14"/>
      <c r="F211" s="13"/>
    </row>
    <row r="212">
      <c r="B212" s="14"/>
      <c r="F212" s="13"/>
    </row>
    <row r="213">
      <c r="B213" s="14"/>
      <c r="F213" s="13"/>
    </row>
    <row r="214">
      <c r="B214" s="14"/>
      <c r="F214" s="13"/>
    </row>
    <row r="215">
      <c r="B215" s="14"/>
      <c r="F215" s="13"/>
    </row>
    <row r="216">
      <c r="B216" s="14"/>
      <c r="F216" s="13"/>
    </row>
    <row r="217">
      <c r="B217" s="14"/>
      <c r="F217" s="13"/>
    </row>
    <row r="218">
      <c r="B218" s="14"/>
      <c r="F218" s="13"/>
    </row>
    <row r="219">
      <c r="B219" s="14"/>
      <c r="F219" s="13"/>
    </row>
    <row r="220">
      <c r="B220" s="14"/>
      <c r="F220" s="13"/>
    </row>
    <row r="221">
      <c r="B221" s="14"/>
      <c r="F221" s="13"/>
    </row>
    <row r="222">
      <c r="B222" s="14"/>
      <c r="F222" s="13"/>
    </row>
    <row r="223">
      <c r="B223" s="14"/>
      <c r="F223" s="13"/>
    </row>
    <row r="224">
      <c r="B224" s="14"/>
      <c r="F224" s="13"/>
    </row>
    <row r="225">
      <c r="B225" s="14"/>
      <c r="F225" s="13"/>
    </row>
    <row r="226">
      <c r="B226" s="14"/>
      <c r="F226" s="13"/>
    </row>
    <row r="227">
      <c r="B227" s="14"/>
      <c r="F227" s="13"/>
    </row>
    <row r="228">
      <c r="B228" s="14"/>
      <c r="F228" s="13"/>
    </row>
    <row r="229">
      <c r="B229" s="14"/>
      <c r="F229" s="13"/>
    </row>
    <row r="230">
      <c r="B230" s="14"/>
      <c r="F230" s="13"/>
    </row>
    <row r="231">
      <c r="B231" s="14"/>
      <c r="F231" s="13"/>
    </row>
    <row r="232">
      <c r="B232" s="14"/>
      <c r="F232" s="13"/>
    </row>
    <row r="233">
      <c r="B233" s="14"/>
      <c r="F233" s="13"/>
    </row>
    <row r="234">
      <c r="B234" s="14"/>
      <c r="F234" s="13"/>
    </row>
    <row r="235">
      <c r="B235" s="14"/>
      <c r="F235" s="13"/>
    </row>
    <row r="236">
      <c r="B236" s="14"/>
      <c r="F236" s="13"/>
    </row>
    <row r="237">
      <c r="B237" s="14"/>
      <c r="F237" s="13"/>
    </row>
    <row r="238">
      <c r="B238" s="14"/>
      <c r="F238" s="13"/>
    </row>
    <row r="239">
      <c r="B239" s="14"/>
      <c r="F239" s="13"/>
    </row>
    <row r="240">
      <c r="B240" s="14"/>
      <c r="F240" s="13"/>
    </row>
    <row r="241">
      <c r="B241" s="14"/>
      <c r="F241" s="13"/>
    </row>
    <row r="242">
      <c r="B242" s="14"/>
      <c r="F242" s="13"/>
    </row>
    <row r="243">
      <c r="B243" s="14"/>
      <c r="F243" s="13"/>
    </row>
    <row r="244">
      <c r="B244" s="14"/>
      <c r="F244" s="13"/>
    </row>
    <row r="245">
      <c r="B245" s="14"/>
      <c r="F245" s="13"/>
    </row>
    <row r="246">
      <c r="B246" s="14"/>
      <c r="F246" s="13"/>
    </row>
    <row r="247">
      <c r="B247" s="14"/>
      <c r="F247" s="13"/>
    </row>
    <row r="248">
      <c r="B248" s="14"/>
      <c r="F248" s="13"/>
    </row>
    <row r="249">
      <c r="B249" s="14"/>
      <c r="F249" s="13"/>
    </row>
    <row r="250">
      <c r="B250" s="14"/>
      <c r="F250" s="13"/>
    </row>
    <row r="251">
      <c r="B251" s="14"/>
      <c r="F251" s="13"/>
    </row>
    <row r="252">
      <c r="B252" s="14"/>
      <c r="F252" s="13"/>
    </row>
    <row r="253">
      <c r="B253" s="14"/>
      <c r="F253" s="13"/>
    </row>
    <row r="254">
      <c r="B254" s="14"/>
      <c r="F254" s="13"/>
    </row>
    <row r="255">
      <c r="B255" s="14"/>
      <c r="F255" s="13"/>
    </row>
    <row r="256">
      <c r="B256" s="14"/>
      <c r="F256" s="13"/>
    </row>
    <row r="257">
      <c r="B257" s="14"/>
      <c r="F257" s="13"/>
    </row>
    <row r="258">
      <c r="B258" s="14"/>
      <c r="F258" s="13"/>
    </row>
    <row r="259">
      <c r="B259" s="14"/>
      <c r="F259" s="13"/>
    </row>
    <row r="260">
      <c r="B260" s="14"/>
      <c r="F260" s="13"/>
    </row>
    <row r="261">
      <c r="B261" s="14"/>
      <c r="F261" s="13"/>
    </row>
    <row r="262">
      <c r="B262" s="14"/>
      <c r="F262" s="13"/>
    </row>
    <row r="263">
      <c r="B263" s="14"/>
      <c r="F263" s="13"/>
    </row>
    <row r="264">
      <c r="B264" s="14"/>
      <c r="F264" s="13"/>
    </row>
    <row r="265">
      <c r="B265" s="14"/>
      <c r="F265" s="13"/>
    </row>
    <row r="266">
      <c r="B266" s="14"/>
      <c r="F266" s="13"/>
    </row>
    <row r="267">
      <c r="B267" s="14"/>
      <c r="F267" s="13"/>
    </row>
    <row r="268">
      <c r="B268" s="14"/>
      <c r="F268" s="13"/>
    </row>
    <row r="269">
      <c r="B269" s="14"/>
      <c r="F269" s="13"/>
    </row>
    <row r="270">
      <c r="B270" s="14"/>
      <c r="F270" s="13"/>
    </row>
    <row r="271">
      <c r="B271" s="14"/>
      <c r="F271" s="13"/>
    </row>
    <row r="272">
      <c r="B272" s="14"/>
      <c r="F272" s="13"/>
    </row>
    <row r="273">
      <c r="B273" s="14"/>
      <c r="F273" s="13"/>
    </row>
    <row r="274">
      <c r="B274" s="14"/>
      <c r="F274" s="13"/>
    </row>
    <row r="275">
      <c r="B275" s="14"/>
      <c r="F275" s="13"/>
    </row>
    <row r="276">
      <c r="B276" s="14"/>
      <c r="F276" s="13"/>
    </row>
    <row r="277">
      <c r="B277" s="14"/>
      <c r="F277" s="13"/>
    </row>
    <row r="278">
      <c r="B278" s="14"/>
      <c r="F278" s="13"/>
    </row>
    <row r="279">
      <c r="B279" s="14"/>
      <c r="F279" s="13"/>
    </row>
    <row r="280">
      <c r="B280" s="14"/>
      <c r="F280" s="13"/>
    </row>
    <row r="281">
      <c r="B281" s="14"/>
      <c r="F281" s="13"/>
    </row>
    <row r="282">
      <c r="B282" s="14"/>
      <c r="F282" s="13"/>
    </row>
    <row r="283">
      <c r="B283" s="14"/>
      <c r="F283" s="13"/>
    </row>
    <row r="284">
      <c r="B284" s="14"/>
      <c r="F284" s="13"/>
    </row>
    <row r="285">
      <c r="B285" s="14"/>
      <c r="F285" s="13"/>
    </row>
    <row r="286">
      <c r="B286" s="14"/>
      <c r="F286" s="13"/>
    </row>
    <row r="287">
      <c r="B287" s="14"/>
      <c r="F287" s="13"/>
    </row>
    <row r="288">
      <c r="B288" s="14"/>
      <c r="F288" s="13"/>
    </row>
    <row r="289">
      <c r="B289" s="14"/>
      <c r="F289" s="13"/>
    </row>
    <row r="290">
      <c r="B290" s="14"/>
      <c r="F290" s="13"/>
    </row>
    <row r="291">
      <c r="B291" s="14"/>
      <c r="F291" s="13"/>
    </row>
    <row r="292">
      <c r="B292" s="14"/>
      <c r="F292" s="13"/>
    </row>
    <row r="293">
      <c r="B293" s="14"/>
      <c r="F293" s="13"/>
    </row>
    <row r="294">
      <c r="B294" s="14"/>
      <c r="F294" s="13"/>
    </row>
    <row r="295">
      <c r="B295" s="14"/>
      <c r="F295" s="13"/>
    </row>
    <row r="296">
      <c r="B296" s="14"/>
      <c r="F296" s="13"/>
    </row>
    <row r="297">
      <c r="B297" s="14"/>
      <c r="F297" s="13"/>
    </row>
    <row r="298">
      <c r="B298" s="14"/>
      <c r="F298" s="13"/>
    </row>
    <row r="299">
      <c r="B299" s="14"/>
      <c r="F299" s="13"/>
    </row>
    <row r="300">
      <c r="B300" s="14"/>
      <c r="F300" s="13"/>
    </row>
    <row r="301">
      <c r="B301" s="14"/>
      <c r="F301" s="13"/>
    </row>
    <row r="302">
      <c r="B302" s="14"/>
      <c r="F302" s="13"/>
    </row>
    <row r="303">
      <c r="B303" s="14"/>
      <c r="F303" s="13"/>
    </row>
    <row r="304">
      <c r="B304" s="14"/>
      <c r="F304" s="13"/>
    </row>
    <row r="305">
      <c r="B305" s="14"/>
      <c r="F305" s="13"/>
    </row>
    <row r="306">
      <c r="B306" s="14"/>
      <c r="F306" s="13"/>
    </row>
    <row r="307">
      <c r="B307" s="14"/>
      <c r="F307" s="13"/>
    </row>
    <row r="308">
      <c r="B308" s="14"/>
      <c r="F308" s="13"/>
    </row>
    <row r="309">
      <c r="B309" s="14"/>
      <c r="F309" s="13"/>
    </row>
    <row r="310">
      <c r="B310" s="14"/>
      <c r="F310" s="13"/>
    </row>
    <row r="311">
      <c r="B311" s="14"/>
      <c r="F311" s="13"/>
    </row>
    <row r="312">
      <c r="B312" s="14"/>
      <c r="F312" s="13"/>
    </row>
    <row r="313">
      <c r="B313" s="14"/>
      <c r="F313" s="13"/>
    </row>
    <row r="314">
      <c r="B314" s="14"/>
      <c r="F314" s="13"/>
    </row>
    <row r="315">
      <c r="B315" s="14"/>
      <c r="F315" s="13"/>
    </row>
    <row r="316">
      <c r="B316" s="14"/>
      <c r="F316" s="13"/>
    </row>
    <row r="317">
      <c r="B317" s="14"/>
      <c r="F317" s="13"/>
    </row>
    <row r="318">
      <c r="B318" s="14"/>
      <c r="F318" s="13"/>
    </row>
    <row r="319">
      <c r="B319" s="14"/>
      <c r="F319" s="13"/>
    </row>
    <row r="320">
      <c r="B320" s="14"/>
      <c r="F320" s="13"/>
    </row>
    <row r="321">
      <c r="B321" s="14"/>
      <c r="F321" s="13"/>
    </row>
    <row r="322">
      <c r="B322" s="14"/>
      <c r="F322" s="13"/>
    </row>
    <row r="323">
      <c r="B323" s="14"/>
      <c r="F323" s="13"/>
    </row>
    <row r="324">
      <c r="B324" s="14"/>
      <c r="F324" s="13"/>
    </row>
    <row r="325">
      <c r="B325" s="14"/>
      <c r="F325" s="13"/>
    </row>
    <row r="326">
      <c r="B326" s="14"/>
      <c r="F326" s="13"/>
    </row>
    <row r="327">
      <c r="B327" s="14"/>
      <c r="F327" s="13"/>
    </row>
    <row r="328">
      <c r="B328" s="14"/>
      <c r="F328" s="13"/>
    </row>
    <row r="329">
      <c r="B329" s="14"/>
      <c r="F329" s="13"/>
    </row>
    <row r="330">
      <c r="B330" s="14"/>
      <c r="F330" s="13"/>
    </row>
    <row r="331">
      <c r="B331" s="14"/>
      <c r="F331" s="13"/>
    </row>
    <row r="332">
      <c r="B332" s="14"/>
      <c r="F332" s="13"/>
    </row>
    <row r="333">
      <c r="B333" s="14"/>
      <c r="F333" s="13"/>
    </row>
    <row r="334">
      <c r="B334" s="14"/>
      <c r="F334" s="13"/>
    </row>
    <row r="335">
      <c r="B335" s="14"/>
      <c r="F335" s="13"/>
    </row>
    <row r="336">
      <c r="B336" s="14"/>
      <c r="F336" s="13"/>
    </row>
    <row r="337">
      <c r="B337" s="14"/>
      <c r="F337" s="13"/>
    </row>
    <row r="338">
      <c r="B338" s="14"/>
      <c r="F338" s="13"/>
    </row>
    <row r="339">
      <c r="B339" s="14"/>
      <c r="F339" s="13"/>
    </row>
    <row r="340">
      <c r="B340" s="14"/>
      <c r="F340" s="13"/>
    </row>
    <row r="341">
      <c r="B341" s="14"/>
      <c r="F341" s="13"/>
    </row>
    <row r="342">
      <c r="B342" s="14"/>
      <c r="F342" s="13"/>
    </row>
    <row r="343">
      <c r="B343" s="14"/>
      <c r="F343" s="13"/>
    </row>
    <row r="344">
      <c r="B344" s="14"/>
      <c r="F344" s="13"/>
    </row>
    <row r="345">
      <c r="B345" s="14"/>
      <c r="F345" s="13"/>
    </row>
    <row r="346">
      <c r="B346" s="14"/>
      <c r="F346" s="13"/>
    </row>
    <row r="347">
      <c r="B347" s="14"/>
      <c r="F347" s="13"/>
    </row>
    <row r="348">
      <c r="B348" s="14"/>
      <c r="F348" s="13"/>
    </row>
    <row r="349">
      <c r="B349" s="14"/>
      <c r="F349" s="13"/>
    </row>
    <row r="350">
      <c r="B350" s="14"/>
      <c r="F350" s="13"/>
    </row>
    <row r="351">
      <c r="B351" s="14"/>
      <c r="F351" s="13"/>
    </row>
    <row r="352">
      <c r="B352" s="14"/>
      <c r="F352" s="13"/>
    </row>
    <row r="353">
      <c r="B353" s="14"/>
      <c r="F353" s="13"/>
    </row>
    <row r="354">
      <c r="B354" s="14"/>
      <c r="F354" s="13"/>
    </row>
    <row r="355">
      <c r="B355" s="14"/>
      <c r="F355" s="13"/>
    </row>
    <row r="356">
      <c r="B356" s="14"/>
      <c r="F356" s="13"/>
    </row>
    <row r="357">
      <c r="B357" s="14"/>
      <c r="F357" s="13"/>
    </row>
    <row r="358">
      <c r="B358" s="14"/>
      <c r="F358" s="13"/>
    </row>
    <row r="359">
      <c r="B359" s="14"/>
      <c r="F359" s="13"/>
    </row>
    <row r="360">
      <c r="B360" s="14"/>
      <c r="F360" s="13"/>
    </row>
    <row r="361">
      <c r="B361" s="14"/>
      <c r="F361" s="13"/>
    </row>
    <row r="362">
      <c r="B362" s="14"/>
      <c r="F362" s="13"/>
    </row>
    <row r="363">
      <c r="B363" s="14"/>
      <c r="F363" s="13"/>
    </row>
    <row r="364">
      <c r="B364" s="14"/>
      <c r="F364" s="13"/>
    </row>
    <row r="365">
      <c r="B365" s="14"/>
      <c r="F365" s="13"/>
    </row>
    <row r="366">
      <c r="B366" s="14"/>
      <c r="F366" s="13"/>
    </row>
    <row r="367">
      <c r="B367" s="14"/>
      <c r="F367" s="13"/>
    </row>
    <row r="368">
      <c r="B368" s="14"/>
      <c r="F368" s="13"/>
    </row>
    <row r="369">
      <c r="B369" s="14"/>
      <c r="F369" s="13"/>
    </row>
    <row r="370">
      <c r="B370" s="14"/>
      <c r="F370" s="13"/>
    </row>
    <row r="371">
      <c r="B371" s="14"/>
      <c r="F371" s="13"/>
    </row>
    <row r="372">
      <c r="B372" s="14"/>
      <c r="F372" s="13"/>
    </row>
    <row r="373">
      <c r="B373" s="14"/>
      <c r="F373" s="13"/>
    </row>
    <row r="374">
      <c r="B374" s="14"/>
      <c r="F374" s="13"/>
    </row>
    <row r="375">
      <c r="B375" s="14"/>
      <c r="F375" s="13"/>
    </row>
    <row r="376">
      <c r="B376" s="14"/>
      <c r="F376" s="13"/>
    </row>
    <row r="377">
      <c r="B377" s="14"/>
      <c r="F377" s="13"/>
    </row>
    <row r="378">
      <c r="B378" s="14"/>
      <c r="F378" s="13"/>
    </row>
    <row r="379">
      <c r="B379" s="14"/>
      <c r="F379" s="13"/>
    </row>
    <row r="380">
      <c r="B380" s="14"/>
      <c r="F380" s="13"/>
    </row>
    <row r="381">
      <c r="B381" s="14"/>
      <c r="F381" s="13"/>
    </row>
    <row r="382">
      <c r="B382" s="14"/>
      <c r="F382" s="13"/>
    </row>
    <row r="383">
      <c r="B383" s="14"/>
      <c r="F383" s="13"/>
    </row>
    <row r="384">
      <c r="B384" s="14"/>
      <c r="F384" s="13"/>
    </row>
    <row r="385">
      <c r="B385" s="14"/>
      <c r="F385" s="13"/>
    </row>
    <row r="386">
      <c r="B386" s="14"/>
      <c r="F386" s="13"/>
    </row>
    <row r="387">
      <c r="B387" s="14"/>
      <c r="F387" s="13"/>
    </row>
    <row r="388">
      <c r="B388" s="14"/>
      <c r="F388" s="13"/>
    </row>
    <row r="389">
      <c r="B389" s="14"/>
      <c r="F389" s="13"/>
    </row>
    <row r="390">
      <c r="B390" s="14"/>
      <c r="F390" s="13"/>
    </row>
    <row r="391">
      <c r="B391" s="14"/>
      <c r="F391" s="13"/>
    </row>
    <row r="392">
      <c r="B392" s="14"/>
      <c r="F392" s="13"/>
    </row>
    <row r="393">
      <c r="B393" s="14"/>
      <c r="F393" s="13"/>
    </row>
    <row r="394">
      <c r="B394" s="14"/>
      <c r="F394" s="13"/>
    </row>
    <row r="395">
      <c r="B395" s="14"/>
      <c r="F395" s="13"/>
    </row>
    <row r="396">
      <c r="B396" s="14"/>
      <c r="F396" s="13"/>
    </row>
    <row r="397">
      <c r="B397" s="14"/>
      <c r="F397" s="13"/>
    </row>
    <row r="398">
      <c r="B398" s="14"/>
      <c r="F398" s="13"/>
    </row>
    <row r="399">
      <c r="B399" s="14"/>
      <c r="F399" s="13"/>
    </row>
    <row r="400">
      <c r="B400" s="14"/>
      <c r="F400" s="13"/>
    </row>
    <row r="401">
      <c r="B401" s="14"/>
      <c r="F401" s="13"/>
    </row>
    <row r="402">
      <c r="B402" s="14"/>
      <c r="F402" s="13"/>
    </row>
    <row r="403">
      <c r="B403" s="14"/>
      <c r="F403" s="13"/>
    </row>
    <row r="404">
      <c r="B404" s="14"/>
      <c r="F404" s="13"/>
    </row>
    <row r="405">
      <c r="B405" s="14"/>
      <c r="F405" s="13"/>
    </row>
    <row r="406">
      <c r="B406" s="14"/>
      <c r="F406" s="13"/>
    </row>
    <row r="407">
      <c r="B407" s="14"/>
      <c r="F407" s="13"/>
    </row>
    <row r="408">
      <c r="B408" s="14"/>
      <c r="F408" s="13"/>
    </row>
    <row r="409">
      <c r="B409" s="14"/>
      <c r="F409" s="13"/>
    </row>
    <row r="410">
      <c r="B410" s="14"/>
      <c r="F410" s="13"/>
    </row>
    <row r="411">
      <c r="B411" s="14"/>
      <c r="F411" s="13"/>
    </row>
    <row r="412">
      <c r="B412" s="14"/>
      <c r="F412" s="13"/>
    </row>
    <row r="413">
      <c r="B413" s="14"/>
      <c r="F413" s="13"/>
    </row>
    <row r="414">
      <c r="B414" s="14"/>
      <c r="F414" s="13"/>
    </row>
    <row r="415">
      <c r="B415" s="14"/>
      <c r="F415" s="13"/>
    </row>
    <row r="416">
      <c r="B416" s="14"/>
      <c r="F416" s="13"/>
    </row>
    <row r="417">
      <c r="B417" s="14"/>
      <c r="F417" s="13"/>
    </row>
    <row r="418">
      <c r="B418" s="14"/>
      <c r="F418" s="13"/>
    </row>
    <row r="419">
      <c r="B419" s="14"/>
      <c r="F419" s="13"/>
    </row>
    <row r="420">
      <c r="B420" s="14"/>
      <c r="F420" s="13"/>
    </row>
    <row r="421">
      <c r="B421" s="14"/>
      <c r="F421" s="13"/>
    </row>
    <row r="422">
      <c r="B422" s="14"/>
      <c r="F422" s="13"/>
    </row>
    <row r="423">
      <c r="B423" s="14"/>
      <c r="F423" s="13"/>
    </row>
    <row r="424">
      <c r="B424" s="14"/>
      <c r="F424" s="13"/>
    </row>
    <row r="425">
      <c r="B425" s="14"/>
      <c r="F425" s="13"/>
    </row>
    <row r="426">
      <c r="B426" s="14"/>
      <c r="F426" s="13"/>
    </row>
    <row r="427">
      <c r="B427" s="14"/>
      <c r="F427" s="13"/>
    </row>
    <row r="428">
      <c r="B428" s="14"/>
      <c r="F428" s="13"/>
    </row>
    <row r="429">
      <c r="B429" s="14"/>
      <c r="F429" s="13"/>
    </row>
    <row r="430">
      <c r="B430" s="14"/>
      <c r="F430" s="13"/>
    </row>
    <row r="431">
      <c r="B431" s="14"/>
      <c r="F431" s="13"/>
    </row>
    <row r="432">
      <c r="B432" s="14"/>
      <c r="F432" s="13"/>
    </row>
    <row r="433">
      <c r="B433" s="14"/>
      <c r="F433" s="13"/>
    </row>
    <row r="434">
      <c r="B434" s="14"/>
      <c r="F434" s="13"/>
    </row>
    <row r="435">
      <c r="B435" s="14"/>
      <c r="F435" s="13"/>
    </row>
    <row r="436">
      <c r="B436" s="14"/>
      <c r="F436" s="13"/>
    </row>
    <row r="437">
      <c r="B437" s="14"/>
      <c r="F437" s="13"/>
    </row>
    <row r="438">
      <c r="B438" s="14"/>
      <c r="F438" s="13"/>
    </row>
    <row r="439">
      <c r="B439" s="14"/>
      <c r="F439" s="13"/>
    </row>
    <row r="440">
      <c r="B440" s="14"/>
      <c r="F440" s="13"/>
    </row>
    <row r="441">
      <c r="B441" s="14"/>
      <c r="F441" s="13"/>
    </row>
    <row r="442">
      <c r="B442" s="14"/>
      <c r="F442" s="13"/>
    </row>
    <row r="443">
      <c r="B443" s="14"/>
      <c r="F443" s="13"/>
    </row>
    <row r="444">
      <c r="B444" s="14"/>
      <c r="F444" s="13"/>
    </row>
    <row r="445">
      <c r="B445" s="14"/>
      <c r="F445" s="13"/>
    </row>
    <row r="446">
      <c r="B446" s="14"/>
      <c r="F446" s="13"/>
    </row>
    <row r="447">
      <c r="B447" s="14"/>
      <c r="F447" s="13"/>
    </row>
    <row r="448">
      <c r="B448" s="14"/>
      <c r="F448" s="13"/>
    </row>
    <row r="449">
      <c r="B449" s="14"/>
      <c r="F449" s="13"/>
    </row>
    <row r="450">
      <c r="B450" s="14"/>
      <c r="F450" s="13"/>
    </row>
    <row r="451">
      <c r="B451" s="14"/>
      <c r="F451" s="13"/>
    </row>
    <row r="452">
      <c r="B452" s="14"/>
      <c r="F452" s="13"/>
    </row>
    <row r="453">
      <c r="B453" s="14"/>
      <c r="F453" s="13"/>
    </row>
    <row r="454">
      <c r="B454" s="14"/>
      <c r="F454" s="13"/>
    </row>
    <row r="455">
      <c r="B455" s="14"/>
      <c r="F455" s="13"/>
    </row>
    <row r="456">
      <c r="B456" s="14"/>
      <c r="F456" s="13"/>
    </row>
    <row r="457">
      <c r="B457" s="14"/>
      <c r="F457" s="13"/>
    </row>
    <row r="458">
      <c r="B458" s="14"/>
      <c r="F458" s="13"/>
    </row>
    <row r="459">
      <c r="B459" s="14"/>
      <c r="F459" s="13"/>
    </row>
    <row r="460">
      <c r="B460" s="14"/>
      <c r="F460" s="13"/>
    </row>
    <row r="461">
      <c r="B461" s="14"/>
      <c r="F461" s="13"/>
    </row>
    <row r="462">
      <c r="B462" s="14"/>
      <c r="F462" s="13"/>
    </row>
    <row r="463">
      <c r="B463" s="14"/>
      <c r="F463" s="13"/>
    </row>
    <row r="464">
      <c r="B464" s="14"/>
      <c r="F464" s="13"/>
    </row>
    <row r="465">
      <c r="B465" s="14"/>
      <c r="F465" s="13"/>
    </row>
    <row r="466">
      <c r="B466" s="14"/>
      <c r="F466" s="13"/>
    </row>
    <row r="467">
      <c r="B467" s="14"/>
      <c r="F467" s="13"/>
    </row>
    <row r="468">
      <c r="B468" s="14"/>
      <c r="F468" s="13"/>
    </row>
    <row r="469">
      <c r="B469" s="14"/>
      <c r="F469" s="13"/>
    </row>
    <row r="470">
      <c r="B470" s="14"/>
      <c r="F470" s="13"/>
    </row>
    <row r="471">
      <c r="B471" s="14"/>
      <c r="F471" s="13"/>
    </row>
    <row r="472">
      <c r="B472" s="14"/>
      <c r="F472" s="13"/>
    </row>
    <row r="473">
      <c r="B473" s="14"/>
      <c r="F473" s="13"/>
    </row>
    <row r="474">
      <c r="B474" s="14"/>
      <c r="F474" s="13"/>
    </row>
    <row r="475">
      <c r="B475" s="14"/>
      <c r="F475" s="13"/>
    </row>
    <row r="476">
      <c r="B476" s="14"/>
      <c r="F476" s="13"/>
    </row>
    <row r="477">
      <c r="B477" s="14"/>
      <c r="F477" s="13"/>
    </row>
    <row r="478">
      <c r="B478" s="14"/>
      <c r="F478" s="13"/>
    </row>
    <row r="479">
      <c r="B479" s="14"/>
      <c r="F479" s="13"/>
    </row>
    <row r="480">
      <c r="B480" s="14"/>
      <c r="F480" s="13"/>
    </row>
    <row r="481">
      <c r="B481" s="14"/>
      <c r="F481" s="13"/>
    </row>
    <row r="482">
      <c r="B482" s="14"/>
      <c r="F482" s="13"/>
    </row>
    <row r="483">
      <c r="B483" s="14"/>
      <c r="F483" s="13"/>
    </row>
    <row r="484">
      <c r="B484" s="14"/>
      <c r="F484" s="13"/>
    </row>
    <row r="485">
      <c r="B485" s="14"/>
      <c r="F485" s="13"/>
    </row>
    <row r="486">
      <c r="B486" s="14"/>
      <c r="F486" s="13"/>
    </row>
    <row r="487">
      <c r="B487" s="14"/>
      <c r="F487" s="13"/>
    </row>
    <row r="488">
      <c r="B488" s="14"/>
      <c r="F488" s="13"/>
    </row>
    <row r="489">
      <c r="B489" s="14"/>
      <c r="F489" s="13"/>
    </row>
    <row r="490">
      <c r="B490" s="14"/>
      <c r="F490" s="13"/>
    </row>
    <row r="491">
      <c r="B491" s="14"/>
      <c r="F491" s="13"/>
    </row>
    <row r="492">
      <c r="B492" s="14"/>
      <c r="F492" s="13"/>
    </row>
    <row r="493">
      <c r="B493" s="14"/>
      <c r="F493" s="13"/>
    </row>
    <row r="494">
      <c r="B494" s="14"/>
      <c r="F494" s="13"/>
    </row>
    <row r="495">
      <c r="B495" s="14"/>
      <c r="F495" s="13"/>
    </row>
    <row r="496">
      <c r="B496" s="14"/>
      <c r="F496" s="13"/>
    </row>
    <row r="497">
      <c r="B497" s="14"/>
      <c r="F497" s="13"/>
    </row>
    <row r="498">
      <c r="B498" s="14"/>
      <c r="F498" s="13"/>
    </row>
    <row r="499">
      <c r="B499" s="14"/>
      <c r="F499" s="13"/>
    </row>
    <row r="500">
      <c r="B500" s="14"/>
      <c r="F500" s="13"/>
    </row>
    <row r="501">
      <c r="B501" s="14"/>
      <c r="F501" s="13"/>
    </row>
    <row r="502">
      <c r="B502" s="14"/>
      <c r="F502" s="13"/>
    </row>
    <row r="503">
      <c r="B503" s="14"/>
      <c r="F503" s="13"/>
    </row>
    <row r="504">
      <c r="B504" s="14"/>
      <c r="F504" s="13"/>
    </row>
    <row r="505">
      <c r="B505" s="14"/>
      <c r="F505" s="13"/>
    </row>
    <row r="506">
      <c r="B506" s="14"/>
      <c r="F506" s="13"/>
    </row>
    <row r="507">
      <c r="B507" s="14"/>
      <c r="F507" s="13"/>
    </row>
    <row r="508">
      <c r="B508" s="14"/>
      <c r="F508" s="13"/>
    </row>
    <row r="509">
      <c r="B509" s="14"/>
      <c r="F509" s="13"/>
    </row>
    <row r="510">
      <c r="B510" s="14"/>
      <c r="F510" s="13"/>
    </row>
    <row r="511">
      <c r="B511" s="14"/>
      <c r="F511" s="13"/>
    </row>
    <row r="512">
      <c r="B512" s="14"/>
      <c r="F512" s="13"/>
    </row>
    <row r="513">
      <c r="B513" s="14"/>
      <c r="F513" s="13"/>
    </row>
    <row r="514">
      <c r="B514" s="14"/>
      <c r="F514" s="13"/>
    </row>
    <row r="515">
      <c r="B515" s="14"/>
      <c r="F515" s="13"/>
    </row>
    <row r="516">
      <c r="B516" s="14"/>
      <c r="F516" s="13"/>
    </row>
    <row r="517">
      <c r="B517" s="14"/>
      <c r="F517" s="13"/>
    </row>
    <row r="518">
      <c r="B518" s="14"/>
      <c r="F518" s="13"/>
    </row>
    <row r="519">
      <c r="B519" s="14"/>
      <c r="F519" s="13"/>
    </row>
    <row r="520">
      <c r="B520" s="14"/>
      <c r="F520" s="13"/>
    </row>
    <row r="521">
      <c r="B521" s="14"/>
      <c r="F521" s="13"/>
    </row>
    <row r="522">
      <c r="B522" s="14"/>
      <c r="F522" s="13"/>
    </row>
    <row r="523">
      <c r="B523" s="14"/>
      <c r="F523" s="13"/>
    </row>
    <row r="524">
      <c r="B524" s="14"/>
      <c r="F524" s="13"/>
    </row>
    <row r="525">
      <c r="B525" s="14"/>
      <c r="F525" s="13"/>
    </row>
    <row r="526">
      <c r="B526" s="14"/>
      <c r="F526" s="13"/>
    </row>
    <row r="527">
      <c r="B527" s="14"/>
      <c r="F527" s="13"/>
    </row>
    <row r="528">
      <c r="B528" s="14"/>
      <c r="F528" s="13"/>
    </row>
    <row r="529">
      <c r="B529" s="14"/>
      <c r="F529" s="13"/>
    </row>
    <row r="530">
      <c r="B530" s="14"/>
      <c r="F530" s="13"/>
    </row>
    <row r="531">
      <c r="B531" s="14"/>
      <c r="F531" s="13"/>
    </row>
    <row r="532">
      <c r="B532" s="14"/>
      <c r="F532" s="13"/>
    </row>
    <row r="533">
      <c r="B533" s="14"/>
      <c r="F533" s="13"/>
    </row>
    <row r="534">
      <c r="B534" s="14"/>
      <c r="F534" s="13"/>
    </row>
    <row r="535">
      <c r="B535" s="14"/>
      <c r="F535" s="13"/>
    </row>
    <row r="536">
      <c r="B536" s="14"/>
      <c r="F536" s="13"/>
    </row>
    <row r="537">
      <c r="B537" s="14"/>
      <c r="F537" s="13"/>
    </row>
    <row r="538">
      <c r="B538" s="14"/>
      <c r="F538" s="13"/>
    </row>
    <row r="539">
      <c r="B539" s="14"/>
      <c r="F539" s="13"/>
    </row>
    <row r="540">
      <c r="B540" s="14"/>
      <c r="F540" s="13"/>
    </row>
    <row r="541">
      <c r="B541" s="14"/>
      <c r="F541" s="13"/>
    </row>
    <row r="542">
      <c r="B542" s="14"/>
      <c r="F542" s="13"/>
    </row>
    <row r="543">
      <c r="B543" s="14"/>
      <c r="F543" s="13"/>
    </row>
    <row r="544">
      <c r="B544" s="14"/>
      <c r="F544" s="13"/>
    </row>
    <row r="545">
      <c r="B545" s="14"/>
      <c r="F545" s="13"/>
    </row>
    <row r="546">
      <c r="B546" s="14"/>
      <c r="F546" s="13"/>
    </row>
    <row r="547">
      <c r="B547" s="14"/>
      <c r="F547" s="13"/>
    </row>
    <row r="548">
      <c r="B548" s="14"/>
      <c r="F548" s="13"/>
    </row>
    <row r="549">
      <c r="B549" s="14"/>
      <c r="F549" s="13"/>
    </row>
    <row r="550">
      <c r="B550" s="14"/>
      <c r="F550" s="13"/>
    </row>
    <row r="551">
      <c r="B551" s="14"/>
      <c r="F551" s="13"/>
    </row>
    <row r="552">
      <c r="B552" s="14"/>
      <c r="F552" s="13"/>
    </row>
    <row r="553">
      <c r="B553" s="14"/>
      <c r="F553" s="13"/>
    </row>
    <row r="554">
      <c r="B554" s="14"/>
      <c r="F554" s="13"/>
    </row>
    <row r="555">
      <c r="B555" s="14"/>
      <c r="F555" s="13"/>
    </row>
    <row r="556">
      <c r="B556" s="14"/>
      <c r="F556" s="13"/>
    </row>
    <row r="557">
      <c r="B557" s="14"/>
      <c r="F557" s="13"/>
    </row>
    <row r="558">
      <c r="B558" s="14"/>
      <c r="F558" s="13"/>
    </row>
    <row r="559">
      <c r="B559" s="14"/>
      <c r="F559" s="13"/>
    </row>
    <row r="560">
      <c r="B560" s="14"/>
      <c r="F560" s="13"/>
    </row>
    <row r="561">
      <c r="B561" s="14"/>
      <c r="F561" s="13"/>
    </row>
    <row r="562">
      <c r="B562" s="14"/>
      <c r="F562" s="13"/>
    </row>
    <row r="563">
      <c r="B563" s="14"/>
      <c r="F563" s="13"/>
    </row>
    <row r="564">
      <c r="B564" s="14"/>
      <c r="F564" s="13"/>
    </row>
    <row r="565">
      <c r="B565" s="14"/>
      <c r="F565" s="13"/>
    </row>
    <row r="566">
      <c r="B566" s="14"/>
      <c r="F566" s="13"/>
    </row>
    <row r="567">
      <c r="B567" s="14"/>
      <c r="F567" s="13"/>
    </row>
    <row r="568">
      <c r="B568" s="14"/>
      <c r="F568" s="13"/>
    </row>
    <row r="569">
      <c r="B569" s="14"/>
      <c r="F569" s="13"/>
    </row>
    <row r="570">
      <c r="B570" s="14"/>
      <c r="F570" s="13"/>
    </row>
    <row r="571">
      <c r="B571" s="14"/>
      <c r="F571" s="13"/>
    </row>
    <row r="572">
      <c r="B572" s="14"/>
      <c r="F572" s="13"/>
    </row>
    <row r="573">
      <c r="B573" s="14"/>
      <c r="F573" s="13"/>
    </row>
    <row r="574">
      <c r="B574" s="14"/>
      <c r="F574" s="13"/>
    </row>
    <row r="575">
      <c r="B575" s="14"/>
      <c r="F575" s="13"/>
    </row>
    <row r="576">
      <c r="B576" s="14"/>
      <c r="F576" s="13"/>
    </row>
    <row r="577">
      <c r="B577" s="14"/>
      <c r="F577" s="13"/>
    </row>
    <row r="578">
      <c r="B578" s="14"/>
      <c r="F578" s="13"/>
    </row>
    <row r="579">
      <c r="B579" s="14"/>
      <c r="F579" s="13"/>
    </row>
    <row r="580">
      <c r="B580" s="14"/>
      <c r="F580" s="13"/>
    </row>
    <row r="581">
      <c r="B581" s="14"/>
      <c r="F581" s="13"/>
    </row>
    <row r="582">
      <c r="B582" s="14"/>
      <c r="F582" s="13"/>
    </row>
    <row r="583">
      <c r="B583" s="14"/>
      <c r="F583" s="13"/>
    </row>
    <row r="584">
      <c r="B584" s="14"/>
      <c r="F584" s="13"/>
    </row>
    <row r="585">
      <c r="B585" s="14"/>
      <c r="F585" s="13"/>
    </row>
    <row r="586">
      <c r="B586" s="14"/>
      <c r="F586" s="13"/>
    </row>
    <row r="587">
      <c r="B587" s="14"/>
      <c r="F587" s="13"/>
    </row>
    <row r="588">
      <c r="B588" s="14"/>
      <c r="F588" s="13"/>
    </row>
    <row r="589">
      <c r="B589" s="14"/>
      <c r="F589" s="13"/>
    </row>
    <row r="590">
      <c r="B590" s="14"/>
      <c r="F590" s="13"/>
    </row>
    <row r="591">
      <c r="B591" s="14"/>
      <c r="F591" s="13"/>
    </row>
    <row r="592">
      <c r="B592" s="14"/>
      <c r="F592" s="13"/>
    </row>
    <row r="593">
      <c r="B593" s="14"/>
      <c r="F593" s="13"/>
    </row>
    <row r="594">
      <c r="B594" s="14"/>
      <c r="F594" s="13"/>
    </row>
    <row r="595">
      <c r="B595" s="14"/>
      <c r="F595" s="13"/>
    </row>
    <row r="596">
      <c r="B596" s="14"/>
      <c r="F596" s="13"/>
    </row>
    <row r="597">
      <c r="B597" s="14"/>
      <c r="F597" s="13"/>
    </row>
    <row r="598">
      <c r="B598" s="14"/>
      <c r="F598" s="13"/>
    </row>
    <row r="599">
      <c r="B599" s="14"/>
      <c r="F599" s="13"/>
    </row>
    <row r="600">
      <c r="B600" s="14"/>
      <c r="F600" s="13"/>
    </row>
    <row r="601">
      <c r="B601" s="14"/>
      <c r="F601" s="13"/>
    </row>
    <row r="602">
      <c r="B602" s="14"/>
      <c r="F602" s="13"/>
    </row>
    <row r="603">
      <c r="B603" s="14"/>
      <c r="F603" s="13"/>
    </row>
    <row r="604">
      <c r="B604" s="14"/>
      <c r="F604" s="13"/>
    </row>
    <row r="605">
      <c r="B605" s="14"/>
      <c r="F605" s="13"/>
    </row>
    <row r="606">
      <c r="B606" s="14"/>
      <c r="F606" s="13"/>
    </row>
    <row r="607">
      <c r="B607" s="14"/>
      <c r="F607" s="13"/>
    </row>
    <row r="608">
      <c r="B608" s="14"/>
      <c r="F608" s="13"/>
    </row>
    <row r="609">
      <c r="B609" s="14"/>
      <c r="F609" s="13"/>
    </row>
    <row r="610">
      <c r="B610" s="14"/>
      <c r="F610" s="13"/>
    </row>
    <row r="611">
      <c r="B611" s="14"/>
      <c r="F611" s="13"/>
    </row>
    <row r="612">
      <c r="B612" s="14"/>
      <c r="F612" s="13"/>
    </row>
    <row r="613">
      <c r="B613" s="14"/>
      <c r="F613" s="13"/>
    </row>
    <row r="614">
      <c r="B614" s="14"/>
      <c r="F614" s="13"/>
    </row>
    <row r="615">
      <c r="B615" s="14"/>
      <c r="F615" s="13"/>
    </row>
    <row r="616">
      <c r="B616" s="14"/>
      <c r="F616" s="13"/>
    </row>
    <row r="617">
      <c r="B617" s="14"/>
      <c r="F617" s="13"/>
    </row>
    <row r="618">
      <c r="B618" s="14"/>
      <c r="F618" s="13"/>
    </row>
    <row r="619">
      <c r="B619" s="14"/>
      <c r="F619" s="13"/>
    </row>
    <row r="620">
      <c r="B620" s="14"/>
      <c r="F620" s="13"/>
    </row>
    <row r="621">
      <c r="B621" s="14"/>
      <c r="F621" s="13"/>
    </row>
    <row r="622">
      <c r="B622" s="14"/>
      <c r="F622" s="13"/>
    </row>
    <row r="623">
      <c r="B623" s="14"/>
      <c r="F623" s="13"/>
    </row>
    <row r="624">
      <c r="B624" s="14"/>
      <c r="F624" s="13"/>
    </row>
    <row r="625">
      <c r="B625" s="14"/>
      <c r="F625" s="13"/>
    </row>
    <row r="626">
      <c r="B626" s="14"/>
      <c r="F626" s="13"/>
    </row>
    <row r="627">
      <c r="B627" s="14"/>
      <c r="F627" s="13"/>
    </row>
    <row r="628">
      <c r="B628" s="14"/>
      <c r="F628" s="13"/>
    </row>
    <row r="629">
      <c r="B629" s="14"/>
      <c r="F629" s="13"/>
    </row>
    <row r="630">
      <c r="B630" s="14"/>
      <c r="F630" s="13"/>
    </row>
    <row r="631">
      <c r="B631" s="14"/>
      <c r="F631" s="13"/>
    </row>
    <row r="632">
      <c r="B632" s="14"/>
      <c r="F632" s="13"/>
    </row>
    <row r="633">
      <c r="B633" s="14"/>
      <c r="F633" s="13"/>
    </row>
    <row r="634">
      <c r="B634" s="14"/>
      <c r="F634" s="13"/>
    </row>
    <row r="635">
      <c r="B635" s="14"/>
      <c r="F635" s="13"/>
    </row>
    <row r="636">
      <c r="B636" s="14"/>
      <c r="F636" s="13"/>
    </row>
    <row r="637">
      <c r="B637" s="14"/>
      <c r="F637" s="13"/>
    </row>
    <row r="638">
      <c r="B638" s="14"/>
      <c r="F638" s="13"/>
    </row>
    <row r="639">
      <c r="B639" s="14"/>
      <c r="F639" s="13"/>
    </row>
    <row r="640">
      <c r="B640" s="14"/>
      <c r="F640" s="13"/>
    </row>
    <row r="641">
      <c r="B641" s="14"/>
      <c r="F641" s="13"/>
    </row>
    <row r="642">
      <c r="B642" s="14"/>
      <c r="F642" s="13"/>
    </row>
    <row r="643">
      <c r="B643" s="14"/>
      <c r="F643" s="13"/>
    </row>
    <row r="644">
      <c r="B644" s="14"/>
      <c r="F644" s="13"/>
    </row>
    <row r="645">
      <c r="B645" s="14"/>
      <c r="F645" s="13"/>
    </row>
    <row r="646">
      <c r="B646" s="14"/>
      <c r="F646" s="13"/>
    </row>
    <row r="647">
      <c r="B647" s="14"/>
      <c r="F647" s="13"/>
    </row>
    <row r="648">
      <c r="B648" s="14"/>
      <c r="F648" s="13"/>
    </row>
    <row r="649">
      <c r="B649" s="14"/>
      <c r="F649" s="13"/>
    </row>
    <row r="650">
      <c r="B650" s="14"/>
      <c r="F650" s="13"/>
    </row>
    <row r="651">
      <c r="B651" s="14"/>
      <c r="F651" s="13"/>
    </row>
    <row r="652">
      <c r="B652" s="14"/>
      <c r="F652" s="13"/>
    </row>
    <row r="653">
      <c r="B653" s="14"/>
      <c r="F653" s="13"/>
    </row>
    <row r="654">
      <c r="B654" s="14"/>
      <c r="F654" s="13"/>
    </row>
    <row r="655">
      <c r="B655" s="14"/>
      <c r="F655" s="13"/>
    </row>
    <row r="656">
      <c r="B656" s="14"/>
      <c r="F656" s="13"/>
    </row>
    <row r="657">
      <c r="B657" s="14"/>
      <c r="F657" s="13"/>
    </row>
    <row r="658">
      <c r="B658" s="14"/>
      <c r="F658" s="13"/>
    </row>
    <row r="659">
      <c r="B659" s="14"/>
      <c r="F659" s="13"/>
    </row>
    <row r="660">
      <c r="B660" s="14"/>
      <c r="F660" s="13"/>
    </row>
    <row r="661">
      <c r="B661" s="14"/>
      <c r="F661" s="13"/>
    </row>
    <row r="662">
      <c r="B662" s="14"/>
      <c r="F662" s="13"/>
    </row>
    <row r="663">
      <c r="B663" s="14"/>
      <c r="F663" s="13"/>
    </row>
    <row r="664">
      <c r="B664" s="14"/>
      <c r="F664" s="13"/>
    </row>
    <row r="665">
      <c r="B665" s="14"/>
      <c r="F665" s="13"/>
    </row>
    <row r="666">
      <c r="B666" s="14"/>
      <c r="F666" s="13"/>
    </row>
    <row r="667">
      <c r="B667" s="14"/>
      <c r="F667" s="13"/>
    </row>
    <row r="668">
      <c r="B668" s="14"/>
      <c r="F668" s="13"/>
    </row>
    <row r="669">
      <c r="B669" s="14"/>
      <c r="F669" s="13"/>
    </row>
    <row r="670">
      <c r="B670" s="14"/>
      <c r="F670" s="13"/>
    </row>
    <row r="671">
      <c r="B671" s="14"/>
      <c r="F671" s="13"/>
    </row>
    <row r="672">
      <c r="B672" s="14"/>
      <c r="F672" s="13"/>
    </row>
    <row r="673">
      <c r="B673" s="14"/>
      <c r="F673" s="13"/>
    </row>
    <row r="674">
      <c r="B674" s="14"/>
      <c r="F674" s="13"/>
    </row>
    <row r="675">
      <c r="B675" s="14"/>
      <c r="F675" s="13"/>
    </row>
    <row r="676">
      <c r="B676" s="14"/>
      <c r="F676" s="13"/>
    </row>
    <row r="677">
      <c r="B677" s="14"/>
      <c r="F677" s="13"/>
    </row>
    <row r="678">
      <c r="B678" s="14"/>
      <c r="F678" s="13"/>
    </row>
    <row r="679">
      <c r="B679" s="14"/>
      <c r="F679" s="13"/>
    </row>
    <row r="680">
      <c r="B680" s="14"/>
      <c r="F680" s="13"/>
    </row>
    <row r="681">
      <c r="B681" s="14"/>
      <c r="F681" s="13"/>
    </row>
    <row r="682">
      <c r="B682" s="14"/>
      <c r="F682" s="13"/>
    </row>
    <row r="683">
      <c r="B683" s="14"/>
      <c r="F683" s="13"/>
    </row>
    <row r="684">
      <c r="B684" s="14"/>
      <c r="F684" s="13"/>
    </row>
    <row r="685">
      <c r="B685" s="14"/>
      <c r="F685" s="13"/>
    </row>
    <row r="686">
      <c r="B686" s="14"/>
      <c r="F686" s="13"/>
    </row>
    <row r="687">
      <c r="B687" s="14"/>
      <c r="F687" s="13"/>
    </row>
    <row r="688">
      <c r="B688" s="14"/>
      <c r="F688" s="13"/>
    </row>
    <row r="689">
      <c r="B689" s="14"/>
      <c r="F689" s="13"/>
    </row>
    <row r="690">
      <c r="B690" s="14"/>
      <c r="F690" s="13"/>
    </row>
    <row r="691">
      <c r="B691" s="14"/>
      <c r="F691" s="13"/>
    </row>
    <row r="692">
      <c r="B692" s="14"/>
      <c r="F692" s="13"/>
    </row>
    <row r="693">
      <c r="B693" s="14"/>
      <c r="F693" s="13"/>
    </row>
    <row r="694">
      <c r="B694" s="14"/>
      <c r="F694" s="13"/>
    </row>
    <row r="695">
      <c r="B695" s="14"/>
      <c r="F695" s="13"/>
    </row>
    <row r="696">
      <c r="B696" s="14"/>
      <c r="F696" s="13"/>
    </row>
    <row r="697">
      <c r="B697" s="14"/>
      <c r="F697" s="13"/>
    </row>
    <row r="698">
      <c r="B698" s="14"/>
      <c r="F698" s="13"/>
    </row>
    <row r="699">
      <c r="B699" s="14"/>
      <c r="F699" s="13"/>
    </row>
    <row r="700">
      <c r="B700" s="14"/>
      <c r="F700" s="13"/>
    </row>
    <row r="701">
      <c r="B701" s="14"/>
      <c r="F701" s="13"/>
    </row>
    <row r="702">
      <c r="B702" s="14"/>
      <c r="F702" s="13"/>
    </row>
    <row r="703">
      <c r="B703" s="14"/>
      <c r="F703" s="13"/>
    </row>
    <row r="704">
      <c r="B704" s="14"/>
      <c r="F704" s="13"/>
    </row>
    <row r="705">
      <c r="B705" s="14"/>
      <c r="F705" s="13"/>
    </row>
    <row r="706">
      <c r="B706" s="14"/>
      <c r="F706" s="13"/>
    </row>
    <row r="707">
      <c r="B707" s="14"/>
      <c r="F707" s="13"/>
    </row>
    <row r="708">
      <c r="B708" s="14"/>
      <c r="F708" s="13"/>
    </row>
    <row r="709">
      <c r="B709" s="14"/>
      <c r="F709" s="13"/>
    </row>
    <row r="710">
      <c r="B710" s="14"/>
      <c r="F710" s="13"/>
    </row>
    <row r="711">
      <c r="B711" s="14"/>
      <c r="F711" s="13"/>
    </row>
    <row r="712">
      <c r="B712" s="14"/>
      <c r="F712" s="13"/>
    </row>
    <row r="713">
      <c r="B713" s="14"/>
      <c r="F713" s="13"/>
    </row>
    <row r="714">
      <c r="B714" s="14"/>
      <c r="F714" s="13"/>
    </row>
    <row r="715">
      <c r="B715" s="14"/>
      <c r="F715" s="13"/>
    </row>
    <row r="716">
      <c r="B716" s="14"/>
      <c r="F716" s="13"/>
    </row>
    <row r="717">
      <c r="B717" s="14"/>
      <c r="F717" s="13"/>
    </row>
    <row r="718">
      <c r="B718" s="14"/>
      <c r="F718" s="13"/>
    </row>
    <row r="719">
      <c r="B719" s="14"/>
      <c r="F719" s="13"/>
    </row>
    <row r="720">
      <c r="B720" s="14"/>
      <c r="F720" s="13"/>
    </row>
    <row r="721">
      <c r="B721" s="14"/>
      <c r="F721" s="13"/>
    </row>
    <row r="722">
      <c r="B722" s="14"/>
      <c r="F722" s="13"/>
    </row>
    <row r="723">
      <c r="B723" s="14"/>
      <c r="F723" s="13"/>
    </row>
    <row r="724">
      <c r="B724" s="14"/>
      <c r="F724" s="13"/>
    </row>
    <row r="725">
      <c r="B725" s="14"/>
      <c r="F725" s="13"/>
    </row>
    <row r="726">
      <c r="B726" s="14"/>
      <c r="F726" s="13"/>
    </row>
    <row r="727">
      <c r="B727" s="14"/>
      <c r="F727" s="13"/>
    </row>
    <row r="728">
      <c r="B728" s="14"/>
      <c r="F728" s="13"/>
    </row>
    <row r="729">
      <c r="B729" s="14"/>
      <c r="F729" s="13"/>
    </row>
    <row r="730">
      <c r="B730" s="14"/>
      <c r="F730" s="13"/>
    </row>
    <row r="731">
      <c r="B731" s="14"/>
      <c r="F731" s="13"/>
    </row>
    <row r="732">
      <c r="B732" s="14"/>
      <c r="F732" s="13"/>
    </row>
    <row r="733">
      <c r="B733" s="14"/>
      <c r="F733" s="13"/>
    </row>
    <row r="734">
      <c r="B734" s="14"/>
      <c r="F734" s="13"/>
    </row>
    <row r="735">
      <c r="B735" s="14"/>
      <c r="F735" s="13"/>
    </row>
    <row r="736">
      <c r="B736" s="14"/>
      <c r="F736" s="13"/>
    </row>
    <row r="737">
      <c r="B737" s="14"/>
      <c r="F737" s="13"/>
    </row>
    <row r="738">
      <c r="B738" s="14"/>
      <c r="F738" s="13"/>
    </row>
    <row r="739">
      <c r="B739" s="14"/>
      <c r="F739" s="13"/>
    </row>
    <row r="740">
      <c r="B740" s="14"/>
      <c r="F740" s="13"/>
    </row>
    <row r="741">
      <c r="B741" s="14"/>
      <c r="F741" s="13"/>
    </row>
    <row r="742">
      <c r="B742" s="14"/>
      <c r="F742" s="13"/>
    </row>
    <row r="743">
      <c r="B743" s="14"/>
      <c r="F743" s="13"/>
    </row>
    <row r="744">
      <c r="B744" s="14"/>
      <c r="F744" s="13"/>
    </row>
    <row r="745">
      <c r="B745" s="14"/>
      <c r="F745" s="13"/>
    </row>
    <row r="746">
      <c r="B746" s="14"/>
      <c r="F746" s="13"/>
    </row>
    <row r="747">
      <c r="B747" s="14"/>
      <c r="F747" s="13"/>
    </row>
    <row r="748">
      <c r="B748" s="14"/>
      <c r="F748" s="13"/>
    </row>
    <row r="749">
      <c r="B749" s="14"/>
      <c r="F749" s="13"/>
    </row>
    <row r="750">
      <c r="B750" s="14"/>
      <c r="F750" s="13"/>
    </row>
    <row r="751">
      <c r="B751" s="14"/>
      <c r="F751" s="13"/>
    </row>
    <row r="752">
      <c r="B752" s="14"/>
      <c r="F752" s="13"/>
    </row>
    <row r="753">
      <c r="B753" s="14"/>
      <c r="F753" s="13"/>
    </row>
    <row r="754">
      <c r="B754" s="14"/>
      <c r="F754" s="13"/>
    </row>
    <row r="755">
      <c r="B755" s="14"/>
      <c r="F755" s="13"/>
    </row>
    <row r="756">
      <c r="B756" s="14"/>
      <c r="F756" s="13"/>
    </row>
    <row r="757">
      <c r="B757" s="14"/>
      <c r="F757" s="13"/>
    </row>
    <row r="758">
      <c r="B758" s="14"/>
      <c r="F758" s="13"/>
    </row>
    <row r="759">
      <c r="B759" s="14"/>
      <c r="F759" s="13"/>
    </row>
    <row r="760">
      <c r="B760" s="14"/>
      <c r="F760" s="13"/>
    </row>
    <row r="761">
      <c r="B761" s="14"/>
      <c r="F761" s="13"/>
    </row>
    <row r="762">
      <c r="B762" s="14"/>
      <c r="F762" s="13"/>
    </row>
    <row r="763">
      <c r="B763" s="14"/>
      <c r="F763" s="13"/>
    </row>
    <row r="764">
      <c r="B764" s="14"/>
      <c r="F764" s="13"/>
    </row>
    <row r="765">
      <c r="B765" s="14"/>
      <c r="F765" s="13"/>
    </row>
    <row r="766">
      <c r="B766" s="14"/>
      <c r="F766" s="13"/>
    </row>
    <row r="767">
      <c r="B767" s="14"/>
      <c r="F767" s="13"/>
    </row>
    <row r="768">
      <c r="B768" s="14"/>
      <c r="F768" s="13"/>
    </row>
    <row r="769">
      <c r="B769" s="14"/>
      <c r="F769" s="13"/>
    </row>
    <row r="770">
      <c r="B770" s="14"/>
      <c r="F770" s="13"/>
    </row>
    <row r="771">
      <c r="B771" s="14"/>
      <c r="F771" s="13"/>
    </row>
    <row r="772">
      <c r="B772" s="14"/>
      <c r="F772" s="13"/>
    </row>
    <row r="773">
      <c r="B773" s="14"/>
      <c r="F773" s="13"/>
    </row>
    <row r="774">
      <c r="B774" s="14"/>
      <c r="F774" s="13"/>
    </row>
    <row r="775">
      <c r="B775" s="14"/>
      <c r="F775" s="13"/>
    </row>
    <row r="776">
      <c r="B776" s="14"/>
      <c r="F776" s="13"/>
    </row>
    <row r="777">
      <c r="B777" s="14"/>
      <c r="F777" s="13"/>
    </row>
    <row r="778">
      <c r="B778" s="14"/>
      <c r="F778" s="13"/>
    </row>
    <row r="779">
      <c r="B779" s="14"/>
      <c r="F779" s="13"/>
    </row>
    <row r="780">
      <c r="B780" s="14"/>
      <c r="F780" s="13"/>
    </row>
    <row r="781">
      <c r="B781" s="14"/>
      <c r="F781" s="13"/>
    </row>
    <row r="782">
      <c r="B782" s="14"/>
      <c r="F782" s="13"/>
    </row>
    <row r="783">
      <c r="B783" s="14"/>
      <c r="F783" s="13"/>
    </row>
    <row r="784">
      <c r="B784" s="14"/>
      <c r="F784" s="13"/>
    </row>
    <row r="785">
      <c r="B785" s="14"/>
      <c r="F785" s="13"/>
    </row>
    <row r="786">
      <c r="B786" s="14"/>
      <c r="F786" s="13"/>
    </row>
    <row r="787">
      <c r="B787" s="14"/>
      <c r="F787" s="13"/>
    </row>
    <row r="788">
      <c r="B788" s="14"/>
      <c r="F788" s="13"/>
    </row>
    <row r="789">
      <c r="B789" s="14"/>
      <c r="F789" s="13"/>
    </row>
    <row r="790">
      <c r="B790" s="14"/>
      <c r="F790" s="13"/>
    </row>
    <row r="791">
      <c r="B791" s="14"/>
      <c r="F791" s="13"/>
    </row>
    <row r="792">
      <c r="B792" s="14"/>
      <c r="F792" s="13"/>
    </row>
    <row r="793">
      <c r="B793" s="14"/>
      <c r="F793" s="13"/>
    </row>
    <row r="794">
      <c r="B794" s="14"/>
      <c r="F794" s="13"/>
    </row>
    <row r="795">
      <c r="B795" s="14"/>
      <c r="F795" s="13"/>
    </row>
    <row r="796">
      <c r="B796" s="14"/>
      <c r="F796" s="13"/>
    </row>
    <row r="797">
      <c r="B797" s="14"/>
      <c r="F797" s="13"/>
    </row>
    <row r="798">
      <c r="B798" s="14"/>
      <c r="F798" s="13"/>
    </row>
    <row r="799">
      <c r="B799" s="14"/>
      <c r="F799" s="13"/>
    </row>
    <row r="800">
      <c r="B800" s="14"/>
      <c r="F800" s="13"/>
    </row>
    <row r="801">
      <c r="B801" s="14"/>
      <c r="F801" s="13"/>
    </row>
    <row r="802">
      <c r="B802" s="14"/>
      <c r="F802" s="13"/>
    </row>
    <row r="803">
      <c r="B803" s="14"/>
      <c r="F803" s="13"/>
    </row>
    <row r="804">
      <c r="B804" s="14"/>
      <c r="F804" s="13"/>
    </row>
    <row r="805">
      <c r="B805" s="14"/>
      <c r="F805" s="13"/>
    </row>
    <row r="806">
      <c r="B806" s="14"/>
      <c r="F806" s="13"/>
    </row>
    <row r="807">
      <c r="B807" s="14"/>
      <c r="F807" s="13"/>
    </row>
    <row r="808">
      <c r="B808" s="14"/>
      <c r="F808" s="13"/>
    </row>
    <row r="809">
      <c r="B809" s="14"/>
      <c r="F809" s="13"/>
    </row>
    <row r="810">
      <c r="B810" s="14"/>
      <c r="F810" s="13"/>
    </row>
    <row r="811">
      <c r="B811" s="14"/>
      <c r="F811" s="13"/>
    </row>
    <row r="812">
      <c r="B812" s="14"/>
      <c r="F812" s="13"/>
    </row>
    <row r="813">
      <c r="B813" s="14"/>
      <c r="F813" s="13"/>
    </row>
    <row r="814">
      <c r="B814" s="14"/>
      <c r="F814" s="13"/>
    </row>
    <row r="815">
      <c r="B815" s="14"/>
      <c r="F815" s="13"/>
    </row>
    <row r="816">
      <c r="B816" s="14"/>
      <c r="F816" s="13"/>
    </row>
    <row r="817">
      <c r="B817" s="14"/>
      <c r="F817" s="13"/>
    </row>
    <row r="818">
      <c r="B818" s="14"/>
      <c r="F818" s="13"/>
    </row>
    <row r="819">
      <c r="B819" s="14"/>
      <c r="F819" s="13"/>
    </row>
    <row r="820">
      <c r="B820" s="14"/>
      <c r="F820" s="13"/>
    </row>
    <row r="821">
      <c r="B821" s="14"/>
      <c r="F821" s="13"/>
    </row>
    <row r="822">
      <c r="B822" s="14"/>
      <c r="F822" s="13"/>
    </row>
    <row r="823">
      <c r="B823" s="14"/>
      <c r="F823" s="13"/>
    </row>
    <row r="824">
      <c r="B824" s="14"/>
      <c r="F824" s="13"/>
    </row>
    <row r="825">
      <c r="B825" s="14"/>
      <c r="F825" s="13"/>
    </row>
    <row r="826">
      <c r="B826" s="14"/>
      <c r="F826" s="13"/>
    </row>
    <row r="827">
      <c r="B827" s="14"/>
      <c r="F827" s="13"/>
    </row>
    <row r="828">
      <c r="B828" s="14"/>
      <c r="F828" s="13"/>
    </row>
    <row r="829">
      <c r="B829" s="14"/>
      <c r="F829" s="13"/>
    </row>
    <row r="830">
      <c r="B830" s="14"/>
      <c r="F830" s="13"/>
    </row>
    <row r="831">
      <c r="B831" s="14"/>
      <c r="F831" s="13"/>
    </row>
    <row r="832">
      <c r="B832" s="14"/>
      <c r="F832" s="13"/>
    </row>
    <row r="833">
      <c r="B833" s="14"/>
      <c r="F833" s="13"/>
    </row>
    <row r="834">
      <c r="B834" s="14"/>
      <c r="F834" s="13"/>
    </row>
    <row r="835">
      <c r="B835" s="14"/>
      <c r="F835" s="13"/>
    </row>
    <row r="836">
      <c r="B836" s="14"/>
      <c r="F836" s="13"/>
    </row>
    <row r="837">
      <c r="B837" s="14"/>
      <c r="F837" s="13"/>
    </row>
    <row r="838">
      <c r="B838" s="14"/>
      <c r="F838" s="13"/>
    </row>
    <row r="839">
      <c r="B839" s="14"/>
      <c r="F839" s="13"/>
    </row>
    <row r="840">
      <c r="B840" s="14"/>
      <c r="F840" s="13"/>
    </row>
    <row r="841">
      <c r="B841" s="14"/>
      <c r="F841" s="13"/>
    </row>
    <row r="842">
      <c r="B842" s="14"/>
      <c r="F842" s="13"/>
    </row>
    <row r="843">
      <c r="B843" s="14"/>
      <c r="F843" s="13"/>
    </row>
    <row r="844">
      <c r="B844" s="14"/>
      <c r="F844" s="13"/>
    </row>
    <row r="845">
      <c r="B845" s="14"/>
      <c r="F845" s="13"/>
    </row>
    <row r="846">
      <c r="B846" s="14"/>
      <c r="F846" s="13"/>
    </row>
    <row r="847">
      <c r="B847" s="14"/>
      <c r="F847" s="13"/>
    </row>
    <row r="848">
      <c r="B848" s="14"/>
      <c r="F848" s="13"/>
    </row>
    <row r="849">
      <c r="B849" s="14"/>
      <c r="F849" s="13"/>
    </row>
    <row r="850">
      <c r="B850" s="14"/>
      <c r="F850" s="13"/>
    </row>
    <row r="851">
      <c r="B851" s="14"/>
      <c r="F851" s="13"/>
    </row>
    <row r="852">
      <c r="B852" s="14"/>
      <c r="F852" s="13"/>
    </row>
    <row r="853">
      <c r="B853" s="14"/>
      <c r="F853" s="13"/>
    </row>
    <row r="854">
      <c r="B854" s="14"/>
      <c r="F854" s="13"/>
    </row>
    <row r="855">
      <c r="B855" s="14"/>
      <c r="F855" s="13"/>
    </row>
    <row r="856">
      <c r="B856" s="14"/>
      <c r="F856" s="13"/>
    </row>
    <row r="857">
      <c r="B857" s="14"/>
      <c r="F857" s="13"/>
    </row>
    <row r="858">
      <c r="B858" s="14"/>
      <c r="F858" s="13"/>
    </row>
    <row r="859">
      <c r="B859" s="14"/>
      <c r="F859" s="13"/>
    </row>
    <row r="860">
      <c r="B860" s="14"/>
      <c r="F860" s="13"/>
    </row>
    <row r="861">
      <c r="B861" s="14"/>
      <c r="F861" s="13"/>
    </row>
    <row r="862">
      <c r="B862" s="14"/>
      <c r="F862" s="13"/>
    </row>
    <row r="863">
      <c r="B863" s="14"/>
      <c r="F863" s="13"/>
    </row>
    <row r="864">
      <c r="B864" s="14"/>
      <c r="F864" s="13"/>
    </row>
    <row r="865">
      <c r="B865" s="14"/>
      <c r="F865" s="13"/>
    </row>
    <row r="866">
      <c r="B866" s="14"/>
      <c r="F866" s="13"/>
    </row>
    <row r="867">
      <c r="B867" s="14"/>
      <c r="F867" s="13"/>
    </row>
    <row r="868">
      <c r="B868" s="14"/>
      <c r="F868" s="13"/>
    </row>
    <row r="869">
      <c r="B869" s="14"/>
      <c r="F869" s="13"/>
    </row>
    <row r="870">
      <c r="B870" s="14"/>
      <c r="F870" s="13"/>
    </row>
    <row r="871">
      <c r="B871" s="14"/>
      <c r="F871" s="13"/>
    </row>
    <row r="872">
      <c r="B872" s="14"/>
      <c r="F872" s="13"/>
    </row>
    <row r="873">
      <c r="B873" s="14"/>
      <c r="F873" s="13"/>
    </row>
    <row r="874">
      <c r="B874" s="14"/>
      <c r="F874" s="13"/>
    </row>
    <row r="875">
      <c r="B875" s="14"/>
      <c r="F875" s="13"/>
    </row>
    <row r="876">
      <c r="B876" s="14"/>
      <c r="F876" s="13"/>
    </row>
    <row r="877">
      <c r="B877" s="14"/>
      <c r="F877" s="13"/>
    </row>
    <row r="878">
      <c r="B878" s="14"/>
      <c r="F878" s="13"/>
    </row>
    <row r="879">
      <c r="B879" s="14"/>
      <c r="F879" s="13"/>
    </row>
    <row r="880">
      <c r="B880" s="14"/>
      <c r="F880" s="13"/>
    </row>
    <row r="881">
      <c r="B881" s="14"/>
      <c r="F881" s="13"/>
    </row>
    <row r="882">
      <c r="B882" s="14"/>
      <c r="F882" s="13"/>
    </row>
    <row r="883">
      <c r="B883" s="14"/>
      <c r="F883" s="13"/>
    </row>
    <row r="884">
      <c r="B884" s="14"/>
      <c r="F884" s="13"/>
    </row>
    <row r="885">
      <c r="B885" s="14"/>
      <c r="F885" s="13"/>
    </row>
    <row r="886">
      <c r="B886" s="14"/>
      <c r="F886" s="13"/>
    </row>
    <row r="887">
      <c r="B887" s="14"/>
      <c r="F887" s="13"/>
    </row>
    <row r="888">
      <c r="B888" s="14"/>
      <c r="F888" s="13"/>
    </row>
    <row r="889">
      <c r="B889" s="14"/>
      <c r="F889" s="13"/>
    </row>
    <row r="890">
      <c r="B890" s="14"/>
      <c r="F890" s="13"/>
    </row>
    <row r="891">
      <c r="B891" s="14"/>
      <c r="F891" s="13"/>
    </row>
    <row r="892">
      <c r="B892" s="14"/>
      <c r="F892" s="13"/>
    </row>
    <row r="893">
      <c r="B893" s="14"/>
      <c r="F893" s="13"/>
    </row>
    <row r="894">
      <c r="B894" s="14"/>
      <c r="F894" s="13"/>
    </row>
    <row r="895">
      <c r="B895" s="14"/>
      <c r="F895" s="13"/>
    </row>
    <row r="896">
      <c r="B896" s="14"/>
      <c r="F896" s="13"/>
    </row>
    <row r="897">
      <c r="B897" s="14"/>
      <c r="F897" s="13"/>
    </row>
    <row r="898">
      <c r="B898" s="14"/>
      <c r="F898" s="13"/>
    </row>
    <row r="899">
      <c r="B899" s="14"/>
      <c r="F899" s="13"/>
    </row>
    <row r="900">
      <c r="B900" s="14"/>
      <c r="F900" s="13"/>
    </row>
    <row r="901">
      <c r="B901" s="14"/>
      <c r="F901" s="13"/>
    </row>
    <row r="902">
      <c r="B902" s="14"/>
      <c r="F902" s="13"/>
    </row>
    <row r="903">
      <c r="B903" s="14"/>
      <c r="F903" s="13"/>
    </row>
    <row r="904">
      <c r="B904" s="14"/>
      <c r="F904" s="13"/>
    </row>
    <row r="905">
      <c r="B905" s="14"/>
      <c r="F905" s="13"/>
    </row>
    <row r="906">
      <c r="B906" s="14"/>
      <c r="F906" s="13"/>
    </row>
    <row r="907">
      <c r="B907" s="14"/>
      <c r="F907" s="13"/>
    </row>
    <row r="908">
      <c r="B908" s="14"/>
      <c r="F908" s="13"/>
    </row>
    <row r="909">
      <c r="B909" s="14"/>
      <c r="F909" s="13"/>
    </row>
    <row r="910">
      <c r="B910" s="14"/>
      <c r="F910" s="13"/>
    </row>
    <row r="911">
      <c r="B911" s="14"/>
      <c r="F911" s="13"/>
    </row>
    <row r="912">
      <c r="B912" s="14"/>
      <c r="F912" s="13"/>
    </row>
    <row r="913">
      <c r="B913" s="14"/>
      <c r="F913" s="13"/>
    </row>
    <row r="914">
      <c r="B914" s="14"/>
      <c r="F914" s="13"/>
    </row>
    <row r="915">
      <c r="B915" s="14"/>
      <c r="F915" s="13"/>
    </row>
    <row r="916">
      <c r="B916" s="14"/>
      <c r="F916" s="13"/>
    </row>
    <row r="917">
      <c r="B917" s="14"/>
      <c r="F917" s="13"/>
    </row>
    <row r="918">
      <c r="B918" s="14"/>
      <c r="F918" s="13"/>
    </row>
    <row r="919">
      <c r="B919" s="14"/>
      <c r="F919" s="13"/>
    </row>
    <row r="920">
      <c r="B920" s="14"/>
      <c r="F920" s="13"/>
    </row>
    <row r="921">
      <c r="B921" s="14"/>
      <c r="F921" s="13"/>
    </row>
    <row r="922">
      <c r="B922" s="14"/>
      <c r="F922" s="13"/>
    </row>
    <row r="923">
      <c r="B923" s="14"/>
      <c r="F923" s="13"/>
    </row>
    <row r="924">
      <c r="B924" s="14"/>
      <c r="F924" s="13"/>
    </row>
    <row r="925">
      <c r="B925" s="14"/>
      <c r="F925" s="13"/>
    </row>
    <row r="926">
      <c r="B926" s="14"/>
      <c r="F926" s="13"/>
    </row>
    <row r="927">
      <c r="B927" s="14"/>
      <c r="F927" s="13"/>
    </row>
    <row r="928">
      <c r="B928" s="14"/>
      <c r="F928" s="13"/>
    </row>
    <row r="929">
      <c r="B929" s="14"/>
      <c r="F929" s="13"/>
    </row>
    <row r="930">
      <c r="B930" s="14"/>
      <c r="F930" s="13"/>
    </row>
    <row r="931">
      <c r="B931" s="14"/>
      <c r="F931" s="13"/>
    </row>
    <row r="932">
      <c r="B932" s="14"/>
      <c r="F932" s="13"/>
    </row>
    <row r="933">
      <c r="B933" s="14"/>
      <c r="F933" s="13"/>
    </row>
    <row r="934">
      <c r="B934" s="14"/>
      <c r="F934" s="13"/>
    </row>
    <row r="935">
      <c r="B935" s="14"/>
      <c r="F935" s="13"/>
    </row>
    <row r="936">
      <c r="B936" s="14"/>
      <c r="F936" s="13"/>
    </row>
    <row r="937">
      <c r="B937" s="14"/>
      <c r="F937" s="13"/>
    </row>
    <row r="938">
      <c r="B938" s="14"/>
      <c r="F938" s="13"/>
    </row>
    <row r="939">
      <c r="B939" s="14"/>
      <c r="F939" s="13"/>
    </row>
    <row r="940">
      <c r="B940" s="14"/>
      <c r="F940" s="13"/>
    </row>
    <row r="941">
      <c r="B941" s="14"/>
      <c r="F941" s="13"/>
    </row>
    <row r="942">
      <c r="B942" s="14"/>
      <c r="F942" s="13"/>
    </row>
    <row r="943">
      <c r="B943" s="14"/>
      <c r="F943" s="13"/>
    </row>
    <row r="944">
      <c r="B944" s="14"/>
      <c r="F944" s="13"/>
    </row>
    <row r="945">
      <c r="B945" s="14"/>
      <c r="F945" s="13"/>
    </row>
    <row r="946">
      <c r="B946" s="14"/>
      <c r="F946" s="13"/>
    </row>
    <row r="947">
      <c r="B947" s="14"/>
      <c r="F947" s="13"/>
    </row>
    <row r="948">
      <c r="B948" s="14"/>
      <c r="F948" s="13"/>
    </row>
    <row r="949">
      <c r="B949" s="14"/>
      <c r="F949" s="13"/>
    </row>
    <row r="950">
      <c r="B950" s="14"/>
      <c r="F950" s="13"/>
    </row>
    <row r="951">
      <c r="B951" s="14"/>
      <c r="F951" s="13"/>
    </row>
    <row r="952">
      <c r="B952" s="14"/>
      <c r="F952" s="13"/>
    </row>
    <row r="953">
      <c r="B953" s="14"/>
      <c r="F953" s="13"/>
    </row>
    <row r="954">
      <c r="B954" s="14"/>
      <c r="F954" s="13"/>
    </row>
    <row r="955">
      <c r="B955" s="14"/>
      <c r="F955" s="13"/>
    </row>
    <row r="956">
      <c r="B956" s="14"/>
      <c r="F956" s="13"/>
    </row>
    <row r="957">
      <c r="B957" s="14"/>
      <c r="F957" s="13"/>
    </row>
    <row r="958">
      <c r="B958" s="14"/>
      <c r="F958" s="13"/>
    </row>
    <row r="959">
      <c r="B959" s="14"/>
      <c r="F959" s="13"/>
    </row>
    <row r="960">
      <c r="B960" s="14"/>
      <c r="F960" s="13"/>
    </row>
    <row r="961">
      <c r="B961" s="14"/>
      <c r="F961" s="13"/>
    </row>
    <row r="962">
      <c r="B962" s="14"/>
      <c r="F962" s="13"/>
    </row>
    <row r="963">
      <c r="B963" s="14"/>
      <c r="F963" s="13"/>
    </row>
    <row r="964">
      <c r="B964" s="14"/>
      <c r="F964" s="13"/>
    </row>
    <row r="965">
      <c r="B965" s="14"/>
      <c r="F965" s="13"/>
    </row>
    <row r="966">
      <c r="B966" s="14"/>
      <c r="F966" s="13"/>
    </row>
    <row r="967">
      <c r="B967" s="14"/>
      <c r="F967" s="13"/>
    </row>
    <row r="968">
      <c r="B968" s="14"/>
      <c r="F968" s="13"/>
    </row>
    <row r="969">
      <c r="B969" s="14"/>
      <c r="F969" s="13"/>
    </row>
    <row r="970">
      <c r="B970" s="14"/>
      <c r="F970" s="13"/>
    </row>
    <row r="971">
      <c r="B971" s="14"/>
      <c r="F971" s="13"/>
    </row>
    <row r="972">
      <c r="B972" s="14"/>
      <c r="F972" s="13"/>
    </row>
    <row r="973">
      <c r="B973" s="14"/>
      <c r="F973" s="13"/>
    </row>
    <row r="974">
      <c r="B974" s="14"/>
      <c r="F974" s="13"/>
    </row>
    <row r="975">
      <c r="B975" s="14"/>
      <c r="F975" s="13"/>
    </row>
    <row r="976">
      <c r="B976" s="14"/>
      <c r="F976" s="13"/>
    </row>
    <row r="977">
      <c r="B977" s="14"/>
      <c r="F977" s="13"/>
    </row>
    <row r="978">
      <c r="B978" s="14"/>
      <c r="F978" s="13"/>
    </row>
    <row r="979">
      <c r="B979" s="14"/>
      <c r="F979" s="13"/>
    </row>
    <row r="980">
      <c r="B980" s="14"/>
      <c r="F980" s="13"/>
    </row>
    <row r="981">
      <c r="B981" s="14"/>
      <c r="F981" s="13"/>
    </row>
    <row r="982">
      <c r="B982" s="14"/>
      <c r="F982" s="13"/>
    </row>
    <row r="983">
      <c r="B983" s="14"/>
      <c r="F983" s="13"/>
    </row>
    <row r="984">
      <c r="B984" s="14"/>
      <c r="F984" s="13"/>
    </row>
    <row r="985">
      <c r="B985" s="14"/>
      <c r="F985" s="13"/>
    </row>
    <row r="986">
      <c r="B986" s="14"/>
      <c r="F986" s="13"/>
    </row>
    <row r="987">
      <c r="B987" s="14"/>
      <c r="F987" s="13"/>
    </row>
    <row r="988">
      <c r="B988" s="14"/>
      <c r="F988" s="13"/>
    </row>
    <row r="989">
      <c r="B989" s="14"/>
      <c r="F989" s="13"/>
    </row>
    <row r="990">
      <c r="B990" s="14"/>
      <c r="F990" s="13"/>
    </row>
    <row r="991">
      <c r="B991" s="14"/>
      <c r="F991" s="13"/>
    </row>
    <row r="992">
      <c r="B992" s="14"/>
      <c r="F992" s="13"/>
    </row>
    <row r="993">
      <c r="B993" s="14"/>
      <c r="F993" s="13"/>
    </row>
    <row r="994">
      <c r="B994" s="14"/>
      <c r="F994" s="13"/>
    </row>
    <row r="995">
      <c r="B995" s="14"/>
      <c r="F995" s="13"/>
    </row>
    <row r="996">
      <c r="B996" s="14"/>
      <c r="F996" s="13"/>
    </row>
    <row r="997">
      <c r="B997" s="14"/>
      <c r="F997" s="13"/>
    </row>
    <row r="998">
      <c r="B998" s="14"/>
      <c r="F998" s="13"/>
    </row>
    <row r="999">
      <c r="B999" s="14"/>
      <c r="F999" s="13"/>
    </row>
    <row r="1000">
      <c r="B1000" s="14"/>
      <c r="F1000" s="13"/>
    </row>
    <row r="1001">
      <c r="B1001" s="14"/>
      <c r="F1001" s="13"/>
    </row>
  </sheetData>
  <drawing r:id="rId1"/>
  <tableParts count="1">
    <tablePart r:id="rId3"/>
  </tableParts>
</worksheet>
</file>